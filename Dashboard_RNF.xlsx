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gsoolee/Desktop/WORKS/"/>
    </mc:Choice>
  </mc:AlternateContent>
  <xr:revisionPtr revIDLastSave="0" documentId="13_ncr:1_{1174939B-964E-AE46-86E0-13CA95244A10}" xr6:coauthVersionLast="47" xr6:coauthVersionMax="47" xr10:uidLastSave="{00000000-0000-0000-0000-000000000000}"/>
  <bookViews>
    <workbookView xWindow="0" yWindow="600" windowWidth="28800" windowHeight="15620" activeTab="1" xr2:uid="{9C6DE014-DCE4-1740-A545-D8743FBD5B6A}"/>
  </bookViews>
  <sheets>
    <sheet name="Dashboard" sheetId="2" r:id="rId1"/>
    <sheet name="RAW" sheetId="1" r:id="rId2"/>
    <sheet name="입금현황" sheetId="4" r:id="rId3"/>
    <sheet name="업체별 세부현황" sheetId="5" r:id="rId4"/>
    <sheet name="Backdata" sheetId="3" r:id="rId5"/>
  </sheets>
  <definedNames>
    <definedName name="_xlnm._FilterDatabase" localSheetId="1" hidden="1">RAW!$B$4:$W$694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" l="1"/>
  <c r="H200" i="1"/>
  <c r="H199" i="1"/>
  <c r="D199" i="1"/>
  <c r="E199" i="1"/>
  <c r="H198" i="1" l="1"/>
  <c r="H196" i="1"/>
  <c r="P194" i="1"/>
  <c r="N194" i="1"/>
  <c r="H194" i="1"/>
  <c r="E194" i="1"/>
  <c r="D194" i="1"/>
  <c r="P193" i="1"/>
  <c r="N193" i="1"/>
  <c r="H193" i="1"/>
  <c r="E193" i="1"/>
  <c r="D193" i="1"/>
  <c r="P192" i="1"/>
  <c r="N192" i="1"/>
  <c r="H192" i="1"/>
  <c r="E192" i="1"/>
  <c r="F192" i="1" s="1"/>
  <c r="D192" i="1"/>
  <c r="P191" i="1"/>
  <c r="N191" i="1"/>
  <c r="H191" i="1"/>
  <c r="E191" i="1"/>
  <c r="D191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5" i="1"/>
  <c r="E38" i="2"/>
  <c r="E37" i="2"/>
  <c r="E36" i="2"/>
  <c r="E35" i="2"/>
  <c r="E34" i="2"/>
  <c r="E33" i="2"/>
  <c r="E32" i="2"/>
  <c r="E31" i="2"/>
  <c r="E30" i="2"/>
  <c r="E29" i="2"/>
  <c r="E28" i="2"/>
  <c r="E27" i="2"/>
  <c r="H190" i="1"/>
  <c r="H189" i="1"/>
  <c r="H186" i="1"/>
  <c r="H185" i="1"/>
  <c r="H173" i="1"/>
  <c r="F193" i="1"/>
  <c r="D177" i="1"/>
  <c r="E177" i="1"/>
  <c r="H177" i="1"/>
  <c r="H184" i="1"/>
  <c r="E184" i="1"/>
  <c r="D184" i="1"/>
  <c r="H182" i="1"/>
  <c r="E182" i="1"/>
  <c r="D182" i="1"/>
  <c r="H181" i="1"/>
  <c r="E181" i="1"/>
  <c r="D181" i="1"/>
  <c r="H179" i="1"/>
  <c r="E179" i="1"/>
  <c r="D179" i="1"/>
  <c r="U148" i="1"/>
  <c r="U151" i="1"/>
  <c r="U152" i="1"/>
  <c r="U153" i="1"/>
  <c r="U154" i="1"/>
  <c r="U155" i="1"/>
  <c r="U156" i="1"/>
  <c r="U157" i="1"/>
  <c r="U161" i="1"/>
  <c r="U162" i="1"/>
  <c r="U163" i="1"/>
  <c r="U164" i="1"/>
  <c r="U165" i="1"/>
  <c r="U166" i="1"/>
  <c r="U167" i="1"/>
  <c r="U173" i="1"/>
  <c r="U174" i="1"/>
  <c r="U175" i="1"/>
  <c r="U176" i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U159" i="1"/>
  <c r="U160" i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9" i="1"/>
  <c r="U149" i="1" s="1"/>
  <c r="T150" i="1"/>
  <c r="U150" i="1" s="1"/>
  <c r="T180" i="1"/>
  <c r="U180" i="1" s="1"/>
  <c r="U178" i="1"/>
  <c r="U179" i="1"/>
  <c r="U181" i="1"/>
  <c r="U182" i="1"/>
  <c r="T183" i="1"/>
  <c r="U183" i="1" s="1"/>
  <c r="U184" i="1"/>
  <c r="T168" i="1"/>
  <c r="U168" i="1" s="1"/>
  <c r="T169" i="1"/>
  <c r="U169" i="1" s="1"/>
  <c r="T170" i="1"/>
  <c r="U170" i="1" s="1"/>
  <c r="T171" i="1"/>
  <c r="U171" i="1" s="1"/>
  <c r="T172" i="1"/>
  <c r="U172" i="1" s="1"/>
  <c r="T158" i="1"/>
  <c r="U158" i="1" s="1"/>
  <c r="T177" i="1"/>
  <c r="U177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U202" i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5" i="1"/>
  <c r="U5" i="1" s="1"/>
  <c r="H176" i="1"/>
  <c r="E176" i="1"/>
  <c r="D176" i="1"/>
  <c r="H175" i="1"/>
  <c r="E175" i="1"/>
  <c r="D175" i="1"/>
  <c r="H174" i="1"/>
  <c r="E174" i="1"/>
  <c r="D17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159" i="1"/>
  <c r="H160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1" i="1"/>
  <c r="H162" i="1"/>
  <c r="H163" i="1"/>
  <c r="H164" i="1"/>
  <c r="H180" i="1"/>
  <c r="H165" i="1"/>
  <c r="H166" i="1"/>
  <c r="H167" i="1"/>
  <c r="H178" i="1"/>
  <c r="H183" i="1"/>
  <c r="H168" i="1"/>
  <c r="H169" i="1"/>
  <c r="H170" i="1"/>
  <c r="H171" i="1"/>
  <c r="H172" i="1"/>
  <c r="H158" i="1"/>
  <c r="H187" i="1"/>
  <c r="H188" i="1"/>
  <c r="H195" i="1"/>
  <c r="H197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5" i="1"/>
  <c r="F175" i="1"/>
  <c r="F176" i="1"/>
  <c r="F174" i="1"/>
  <c r="C19" i="4"/>
  <c r="C46" i="4"/>
  <c r="N23" i="2" a="1"/>
  <c r="O28" i="2" s="1"/>
  <c r="E167" i="1"/>
  <c r="D167" i="1"/>
  <c r="E166" i="1"/>
  <c r="D166" i="1"/>
  <c r="E117" i="1"/>
  <c r="D117" i="1"/>
  <c r="D159" i="1"/>
  <c r="E159" i="1"/>
  <c r="D160" i="1"/>
  <c r="E160" i="1"/>
  <c r="E11" i="1"/>
  <c r="D11" i="1"/>
  <c r="E10" i="1"/>
  <c r="D10" i="1"/>
  <c r="E16" i="1"/>
  <c r="D16" i="1"/>
  <c r="E15" i="1"/>
  <c r="D15" i="1"/>
  <c r="E14" i="1"/>
  <c r="D14" i="1"/>
  <c r="E19" i="2"/>
  <c r="E20" i="2"/>
  <c r="A2" i="3" a="1"/>
  <c r="A2" i="3" s="1"/>
  <c r="E90" i="1"/>
  <c r="D90" i="1"/>
  <c r="E57" i="1"/>
  <c r="D57" i="1"/>
  <c r="E54" i="1"/>
  <c r="D54" i="1"/>
  <c r="E53" i="1"/>
  <c r="D53" i="1"/>
  <c r="F53" i="1" s="1"/>
  <c r="E50" i="1"/>
  <c r="D50" i="1"/>
  <c r="E48" i="1"/>
  <c r="D48" i="1"/>
  <c r="E47" i="1"/>
  <c r="D47" i="1"/>
  <c r="F47" i="1" s="1"/>
  <c r="E42" i="1"/>
  <c r="D42" i="1"/>
  <c r="E39" i="1"/>
  <c r="D39" i="1"/>
  <c r="E38" i="1"/>
  <c r="D38" i="1"/>
  <c r="E37" i="1"/>
  <c r="D37" i="1"/>
  <c r="F37" i="1" s="1"/>
  <c r="E36" i="1"/>
  <c r="D36" i="1"/>
  <c r="E32" i="1"/>
  <c r="D32" i="1"/>
  <c r="E22" i="1"/>
  <c r="D22" i="1"/>
  <c r="E21" i="1"/>
  <c r="D21" i="1"/>
  <c r="F21" i="1" s="1"/>
  <c r="E12" i="2"/>
  <c r="E13" i="2"/>
  <c r="E14" i="2"/>
  <c r="E15" i="2"/>
  <c r="E16" i="2"/>
  <c r="E17" i="2"/>
  <c r="E18" i="2"/>
  <c r="E11" i="2"/>
  <c r="E180" i="1"/>
  <c r="D180" i="1"/>
  <c r="E150" i="1"/>
  <c r="D150" i="1"/>
  <c r="P29" i="2"/>
  <c r="Q160" i="1"/>
  <c r="Q159" i="1"/>
  <c r="Q32" i="1"/>
  <c r="E114" i="1"/>
  <c r="D114" i="1"/>
  <c r="E113" i="1"/>
  <c r="D113" i="1"/>
  <c r="E110" i="1"/>
  <c r="D110" i="1"/>
  <c r="E105" i="1"/>
  <c r="D105" i="1"/>
  <c r="E104" i="1"/>
  <c r="D104" i="1"/>
  <c r="E103" i="1"/>
  <c r="D103" i="1"/>
  <c r="Q105" i="1"/>
  <c r="Q104" i="1"/>
  <c r="Q103" i="1"/>
  <c r="Q102" i="1"/>
  <c r="E164" i="1"/>
  <c r="D164" i="1"/>
  <c r="F164" i="1" s="1"/>
  <c r="E163" i="1"/>
  <c r="D163" i="1"/>
  <c r="D151" i="1"/>
  <c r="F151" i="1" s="1"/>
  <c r="D152" i="1"/>
  <c r="D153" i="1"/>
  <c r="D154" i="1"/>
  <c r="D155" i="1"/>
  <c r="D156" i="1"/>
  <c r="D157" i="1"/>
  <c r="D149" i="1"/>
  <c r="D147" i="1"/>
  <c r="F147" i="1" s="1"/>
  <c r="D143" i="1"/>
  <c r="D144" i="1"/>
  <c r="D145" i="1"/>
  <c r="D146" i="1"/>
  <c r="D140" i="1"/>
  <c r="D141" i="1"/>
  <c r="D142" i="1"/>
  <c r="D135" i="1"/>
  <c r="D136" i="1"/>
  <c r="D137" i="1"/>
  <c r="D139" i="1"/>
  <c r="D138" i="1"/>
  <c r="D134" i="1"/>
  <c r="D133" i="1"/>
  <c r="D129" i="1"/>
  <c r="D130" i="1"/>
  <c r="D131" i="1"/>
  <c r="D132" i="1"/>
  <c r="D128" i="1"/>
  <c r="D122" i="1"/>
  <c r="D123" i="1"/>
  <c r="F123" i="1" s="1"/>
  <c r="D124" i="1"/>
  <c r="D125" i="1"/>
  <c r="D126" i="1"/>
  <c r="F126" i="1" s="1"/>
  <c r="D127" i="1"/>
  <c r="D120" i="1"/>
  <c r="D121" i="1"/>
  <c r="D119" i="1"/>
  <c r="D161" i="1"/>
  <c r="D162" i="1"/>
  <c r="D102" i="1"/>
  <c r="D109" i="1"/>
  <c r="D106" i="1"/>
  <c r="D118" i="1"/>
  <c r="D115" i="1"/>
  <c r="D112" i="1"/>
  <c r="D91" i="1"/>
  <c r="D97" i="1"/>
  <c r="D98" i="1"/>
  <c r="D99" i="1"/>
  <c r="D93" i="1"/>
  <c r="D96" i="1"/>
  <c r="D100" i="1"/>
  <c r="D101" i="1"/>
  <c r="D20" i="1"/>
  <c r="D23" i="1"/>
  <c r="D24" i="1"/>
  <c r="D25" i="1"/>
  <c r="F25" i="1" s="1"/>
  <c r="D26" i="1"/>
  <c r="D27" i="1"/>
  <c r="D28" i="1"/>
  <c r="D33" i="1"/>
  <c r="D40" i="1"/>
  <c r="D31" i="1"/>
  <c r="D34" i="1"/>
  <c r="D35" i="1"/>
  <c r="D41" i="1"/>
  <c r="D44" i="1"/>
  <c r="D45" i="1"/>
  <c r="D46" i="1"/>
  <c r="D49" i="1"/>
  <c r="D61" i="1"/>
  <c r="D62" i="1"/>
  <c r="D65" i="1"/>
  <c r="F65" i="1" s="1"/>
  <c r="D67" i="1"/>
  <c r="D52" i="1"/>
  <c r="D58" i="1"/>
  <c r="D59" i="1"/>
  <c r="D56" i="1"/>
  <c r="D66" i="1"/>
  <c r="D72" i="1"/>
  <c r="D73" i="1"/>
  <c r="D74" i="1"/>
  <c r="D75" i="1"/>
  <c r="D76" i="1"/>
  <c r="D77" i="1"/>
  <c r="D80" i="1"/>
  <c r="D81" i="1"/>
  <c r="D87" i="1"/>
  <c r="D88" i="1"/>
  <c r="D82" i="1"/>
  <c r="D83" i="1"/>
  <c r="D84" i="1"/>
  <c r="D85" i="1"/>
  <c r="D86" i="1"/>
  <c r="D78" i="1"/>
  <c r="D89" i="1"/>
  <c r="D5" i="1"/>
  <c r="D6" i="1"/>
  <c r="D13" i="1"/>
  <c r="D9" i="1"/>
  <c r="D12" i="1"/>
  <c r="D8" i="1"/>
  <c r="D7" i="1"/>
  <c r="D43" i="1"/>
  <c r="D29" i="1"/>
  <c r="D30" i="1"/>
  <c r="D18" i="1"/>
  <c r="D17" i="1"/>
  <c r="D19" i="1"/>
  <c r="D68" i="1"/>
  <c r="D69" i="1"/>
  <c r="D64" i="1"/>
  <c r="D63" i="1"/>
  <c r="F63" i="1" s="1"/>
  <c r="D60" i="1"/>
  <c r="D55" i="1"/>
  <c r="F55" i="1" s="1"/>
  <c r="D51" i="1"/>
  <c r="D79" i="1"/>
  <c r="D71" i="1"/>
  <c r="D70" i="1"/>
  <c r="D95" i="1"/>
  <c r="D94" i="1"/>
  <c r="D92" i="1"/>
  <c r="F92" i="1" s="1"/>
  <c r="D111" i="1"/>
  <c r="D108" i="1"/>
  <c r="D107" i="1"/>
  <c r="D116" i="1"/>
  <c r="D165" i="1"/>
  <c r="D173" i="1"/>
  <c r="D178" i="1"/>
  <c r="F178" i="1" s="1"/>
  <c r="D183" i="1"/>
  <c r="D168" i="1"/>
  <c r="D169" i="1"/>
  <c r="D170" i="1"/>
  <c r="D171" i="1"/>
  <c r="D172" i="1"/>
  <c r="D158" i="1"/>
  <c r="D185" i="1"/>
  <c r="D186" i="1"/>
  <c r="F186" i="1" s="1"/>
  <c r="D187" i="1"/>
  <c r="D188" i="1"/>
  <c r="D189" i="1"/>
  <c r="D190" i="1"/>
  <c r="D195" i="1"/>
  <c r="D196" i="1"/>
  <c r="D197" i="1"/>
  <c r="D198" i="1"/>
  <c r="D200" i="1"/>
  <c r="D201" i="1"/>
  <c r="D202" i="1"/>
  <c r="D203" i="1"/>
  <c r="D204" i="1"/>
  <c r="D205" i="1"/>
  <c r="D206" i="1"/>
  <c r="F206" i="1" s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F220" i="1" s="1"/>
  <c r="D221" i="1"/>
  <c r="D222" i="1"/>
  <c r="D223" i="1"/>
  <c r="D224" i="1"/>
  <c r="D225" i="1"/>
  <c r="D226" i="1"/>
  <c r="D227" i="1"/>
  <c r="D228" i="1"/>
  <c r="F228" i="1" s="1"/>
  <c r="D229" i="1"/>
  <c r="D230" i="1"/>
  <c r="D231" i="1"/>
  <c r="D232" i="1"/>
  <c r="D233" i="1"/>
  <c r="D234" i="1"/>
  <c r="D235" i="1"/>
  <c r="D236" i="1"/>
  <c r="D237" i="1"/>
  <c r="D238" i="1"/>
  <c r="F238" i="1" s="1"/>
  <c r="D239" i="1"/>
  <c r="D240" i="1"/>
  <c r="D241" i="1"/>
  <c r="D242" i="1"/>
  <c r="D243" i="1"/>
  <c r="D244" i="1"/>
  <c r="F244" i="1" s="1"/>
  <c r="D245" i="1"/>
  <c r="D246" i="1"/>
  <c r="F246" i="1" s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F268" i="1" s="1"/>
  <c r="D269" i="1"/>
  <c r="D270" i="1"/>
  <c r="D271" i="1"/>
  <c r="D272" i="1"/>
  <c r="D273" i="1"/>
  <c r="D274" i="1"/>
  <c r="D275" i="1"/>
  <c r="D276" i="1"/>
  <c r="D277" i="1"/>
  <c r="D278" i="1"/>
  <c r="F278" i="1" s="1"/>
  <c r="D279" i="1"/>
  <c r="D280" i="1"/>
  <c r="D281" i="1"/>
  <c r="D282" i="1"/>
  <c r="D283" i="1"/>
  <c r="D284" i="1"/>
  <c r="F284" i="1" s="1"/>
  <c r="D285" i="1"/>
  <c r="D286" i="1"/>
  <c r="D287" i="1"/>
  <c r="D288" i="1"/>
  <c r="D289" i="1"/>
  <c r="D290" i="1"/>
  <c r="D291" i="1"/>
  <c r="D292" i="1"/>
  <c r="F292" i="1" s="1"/>
  <c r="D293" i="1"/>
  <c r="D294" i="1"/>
  <c r="F294" i="1" s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F308" i="1" s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F332" i="1" s="1"/>
  <c r="D333" i="1"/>
  <c r="D334" i="1"/>
  <c r="D335" i="1"/>
  <c r="D336" i="1"/>
  <c r="D337" i="1"/>
  <c r="D338" i="1"/>
  <c r="D339" i="1"/>
  <c r="D340" i="1"/>
  <c r="F340" i="1" s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F358" i="1" s="1"/>
  <c r="D359" i="1"/>
  <c r="D360" i="1"/>
  <c r="D361" i="1"/>
  <c r="D362" i="1"/>
  <c r="D363" i="1"/>
  <c r="D364" i="1"/>
  <c r="F364" i="1" s="1"/>
  <c r="D365" i="1"/>
  <c r="D366" i="1"/>
  <c r="D367" i="1"/>
  <c r="D368" i="1"/>
  <c r="D369" i="1"/>
  <c r="D370" i="1"/>
  <c r="D371" i="1"/>
  <c r="D372" i="1"/>
  <c r="F372" i="1" s="1"/>
  <c r="D373" i="1"/>
  <c r="D374" i="1"/>
  <c r="D375" i="1"/>
  <c r="D376" i="1"/>
  <c r="D377" i="1"/>
  <c r="D378" i="1"/>
  <c r="D379" i="1"/>
  <c r="D380" i="1"/>
  <c r="D381" i="1"/>
  <c r="D382" i="1"/>
  <c r="F382" i="1" s="1"/>
  <c r="D383" i="1"/>
  <c r="D384" i="1"/>
  <c r="D385" i="1"/>
  <c r="D386" i="1"/>
  <c r="D387" i="1"/>
  <c r="D388" i="1"/>
  <c r="F388" i="1" s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F420" i="1" s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F436" i="1" s="1"/>
  <c r="D437" i="1"/>
  <c r="D438" i="1"/>
  <c r="D439" i="1"/>
  <c r="D440" i="1"/>
  <c r="D441" i="1"/>
  <c r="D442" i="1"/>
  <c r="D443" i="1"/>
  <c r="D444" i="1"/>
  <c r="D445" i="1"/>
  <c r="D446" i="1"/>
  <c r="D447" i="1"/>
  <c r="F447" i="1" s="1"/>
  <c r="D448" i="1"/>
  <c r="D449" i="1"/>
  <c r="D450" i="1"/>
  <c r="D451" i="1"/>
  <c r="D452" i="1"/>
  <c r="F452" i="1" s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F468" i="1" s="1"/>
  <c r="D469" i="1"/>
  <c r="D470" i="1"/>
  <c r="D471" i="1"/>
  <c r="D472" i="1"/>
  <c r="D473" i="1"/>
  <c r="D474" i="1"/>
  <c r="D475" i="1"/>
  <c r="D476" i="1"/>
  <c r="F476" i="1" s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F492" i="1" s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F532" i="1" s="1"/>
  <c r="D533" i="1"/>
  <c r="D534" i="1"/>
  <c r="D535" i="1"/>
  <c r="D536" i="1"/>
  <c r="D537" i="1"/>
  <c r="D538" i="1"/>
  <c r="D539" i="1"/>
  <c r="D540" i="1"/>
  <c r="F540" i="1" s="1"/>
  <c r="D541" i="1"/>
  <c r="D542" i="1"/>
  <c r="D543" i="1"/>
  <c r="D544" i="1"/>
  <c r="D545" i="1"/>
  <c r="D546" i="1"/>
  <c r="D547" i="1"/>
  <c r="D548" i="1"/>
  <c r="F548" i="1" s="1"/>
  <c r="D549" i="1"/>
  <c r="D550" i="1"/>
  <c r="D551" i="1"/>
  <c r="D552" i="1"/>
  <c r="D553" i="1"/>
  <c r="D554" i="1"/>
  <c r="D555" i="1"/>
  <c r="D556" i="1"/>
  <c r="D557" i="1"/>
  <c r="D558" i="1"/>
  <c r="F558" i="1" s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F580" i="1" s="1"/>
  <c r="D581" i="1"/>
  <c r="D582" i="1"/>
  <c r="D583" i="1"/>
  <c r="D584" i="1"/>
  <c r="D585" i="1"/>
  <c r="F585" i="1" s="1"/>
  <c r="D586" i="1"/>
  <c r="D587" i="1"/>
  <c r="D588" i="1"/>
  <c r="F588" i="1" s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F612" i="1" s="1"/>
  <c r="D613" i="1"/>
  <c r="D614" i="1"/>
  <c r="F614" i="1" s="1"/>
  <c r="D615" i="1"/>
  <c r="D616" i="1"/>
  <c r="D617" i="1"/>
  <c r="D618" i="1"/>
  <c r="D619" i="1"/>
  <c r="D620" i="1"/>
  <c r="D621" i="1"/>
  <c r="D622" i="1"/>
  <c r="F622" i="1" s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F652" i="1" s="1"/>
  <c r="D653" i="1"/>
  <c r="D654" i="1"/>
  <c r="D655" i="1"/>
  <c r="D656" i="1"/>
  <c r="D657" i="1"/>
  <c r="D658" i="1"/>
  <c r="D659" i="1"/>
  <c r="D660" i="1"/>
  <c r="F660" i="1" s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F694" i="1" s="1"/>
  <c r="D148" i="1"/>
  <c r="E151" i="1"/>
  <c r="E152" i="1"/>
  <c r="E153" i="1"/>
  <c r="E154" i="1"/>
  <c r="E155" i="1"/>
  <c r="F155" i="1" s="1"/>
  <c r="E156" i="1"/>
  <c r="E157" i="1"/>
  <c r="E149" i="1"/>
  <c r="E147" i="1"/>
  <c r="E143" i="1"/>
  <c r="F143" i="1" s="1"/>
  <c r="E144" i="1"/>
  <c r="E145" i="1"/>
  <c r="E146" i="1"/>
  <c r="F146" i="1" s="1"/>
  <c r="E140" i="1"/>
  <c r="E141" i="1"/>
  <c r="E142" i="1"/>
  <c r="E135" i="1"/>
  <c r="E136" i="1"/>
  <c r="E137" i="1"/>
  <c r="E139" i="1"/>
  <c r="E138" i="1"/>
  <c r="E134" i="1"/>
  <c r="E133" i="1"/>
  <c r="E129" i="1"/>
  <c r="E130" i="1"/>
  <c r="E131" i="1"/>
  <c r="E132" i="1"/>
  <c r="E128" i="1"/>
  <c r="E122" i="1"/>
  <c r="E123" i="1"/>
  <c r="E124" i="1"/>
  <c r="E125" i="1"/>
  <c r="E126" i="1"/>
  <c r="E127" i="1"/>
  <c r="E120" i="1"/>
  <c r="E121" i="1"/>
  <c r="E119" i="1"/>
  <c r="E161" i="1"/>
  <c r="E162" i="1"/>
  <c r="E102" i="1"/>
  <c r="E109" i="1"/>
  <c r="E106" i="1"/>
  <c r="F106" i="1" s="1"/>
  <c r="E118" i="1"/>
  <c r="E115" i="1"/>
  <c r="E112" i="1"/>
  <c r="F112" i="1" s="1"/>
  <c r="E91" i="1"/>
  <c r="E97" i="1"/>
  <c r="E98" i="1"/>
  <c r="E99" i="1"/>
  <c r="E93" i="1"/>
  <c r="E96" i="1"/>
  <c r="E100" i="1"/>
  <c r="E101" i="1"/>
  <c r="F101" i="1" s="1"/>
  <c r="E20" i="1"/>
  <c r="E23" i="1"/>
  <c r="E24" i="1"/>
  <c r="E25" i="1"/>
  <c r="E26" i="1"/>
  <c r="E27" i="1"/>
  <c r="E28" i="1"/>
  <c r="E33" i="1"/>
  <c r="E40" i="1"/>
  <c r="E31" i="1"/>
  <c r="E34" i="1"/>
  <c r="E35" i="1"/>
  <c r="E41" i="1"/>
  <c r="F41" i="1" s="1"/>
  <c r="E44" i="1"/>
  <c r="E45" i="1"/>
  <c r="E46" i="1"/>
  <c r="F46" i="1" s="1"/>
  <c r="E49" i="1"/>
  <c r="E61" i="1"/>
  <c r="E62" i="1"/>
  <c r="E65" i="1"/>
  <c r="E67" i="1"/>
  <c r="F67" i="1" s="1"/>
  <c r="E52" i="1"/>
  <c r="E58" i="1"/>
  <c r="E59" i="1"/>
  <c r="E56" i="1"/>
  <c r="E66" i="1"/>
  <c r="E72" i="1"/>
  <c r="E73" i="1"/>
  <c r="E74" i="1"/>
  <c r="E75" i="1"/>
  <c r="E76" i="1"/>
  <c r="E77" i="1"/>
  <c r="F77" i="1" s="1"/>
  <c r="E80" i="1"/>
  <c r="E81" i="1"/>
  <c r="E87" i="1"/>
  <c r="E88" i="1"/>
  <c r="E82" i="1"/>
  <c r="E83" i="1"/>
  <c r="E84" i="1"/>
  <c r="E85" i="1"/>
  <c r="E86" i="1"/>
  <c r="E78" i="1"/>
  <c r="E89" i="1"/>
  <c r="E5" i="1"/>
  <c r="E6" i="1"/>
  <c r="F6" i="1" s="1"/>
  <c r="E13" i="1"/>
  <c r="E9" i="1"/>
  <c r="E12" i="1"/>
  <c r="F12" i="1" s="1"/>
  <c r="E8" i="1"/>
  <c r="E7" i="1"/>
  <c r="E43" i="1"/>
  <c r="E29" i="1"/>
  <c r="E30" i="1"/>
  <c r="E18" i="1"/>
  <c r="E17" i="1"/>
  <c r="E19" i="1"/>
  <c r="E68" i="1"/>
  <c r="E69" i="1"/>
  <c r="E64" i="1"/>
  <c r="E63" i="1"/>
  <c r="E60" i="1"/>
  <c r="E55" i="1"/>
  <c r="E51" i="1"/>
  <c r="E79" i="1"/>
  <c r="F79" i="1" s="1"/>
  <c r="E71" i="1"/>
  <c r="E70" i="1"/>
  <c r="E95" i="1"/>
  <c r="E94" i="1"/>
  <c r="E92" i="1"/>
  <c r="E111" i="1"/>
  <c r="E108" i="1"/>
  <c r="E107" i="1"/>
  <c r="E116" i="1"/>
  <c r="E165" i="1"/>
  <c r="E173" i="1"/>
  <c r="E178" i="1"/>
  <c r="E183" i="1"/>
  <c r="E168" i="1"/>
  <c r="E169" i="1"/>
  <c r="E170" i="1"/>
  <c r="F170" i="1" s="1"/>
  <c r="E171" i="1"/>
  <c r="E172" i="1"/>
  <c r="E158" i="1"/>
  <c r="E185" i="1"/>
  <c r="E186" i="1"/>
  <c r="E187" i="1"/>
  <c r="E188" i="1"/>
  <c r="E189" i="1"/>
  <c r="F189" i="1" s="1"/>
  <c r="E190" i="1"/>
  <c r="E195" i="1"/>
  <c r="E196" i="1"/>
  <c r="E197" i="1"/>
  <c r="E198" i="1"/>
  <c r="F199" i="1"/>
  <c r="E200" i="1"/>
  <c r="E201" i="1"/>
  <c r="F201" i="1" s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F217" i="1" s="1"/>
  <c r="E218" i="1"/>
  <c r="E219" i="1"/>
  <c r="E220" i="1"/>
  <c r="E221" i="1"/>
  <c r="E222" i="1"/>
  <c r="E223" i="1"/>
  <c r="E224" i="1"/>
  <c r="E225" i="1"/>
  <c r="F225" i="1" s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F241" i="1" s="1"/>
  <c r="E242" i="1"/>
  <c r="E243" i="1"/>
  <c r="E244" i="1"/>
  <c r="E245" i="1"/>
  <c r="E246" i="1"/>
  <c r="E247" i="1"/>
  <c r="E248" i="1"/>
  <c r="E249" i="1"/>
  <c r="F249" i="1" s="1"/>
  <c r="E250" i="1"/>
  <c r="E251" i="1"/>
  <c r="E252" i="1"/>
  <c r="E253" i="1"/>
  <c r="E254" i="1"/>
  <c r="E255" i="1"/>
  <c r="E256" i="1"/>
  <c r="E257" i="1"/>
  <c r="F257" i="1" s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F275" i="1" s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F297" i="1" s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F313" i="1" s="1"/>
  <c r="E314" i="1"/>
  <c r="E315" i="1"/>
  <c r="E316" i="1"/>
  <c r="E317" i="1"/>
  <c r="E318" i="1"/>
  <c r="E319" i="1"/>
  <c r="E320" i="1"/>
  <c r="E321" i="1"/>
  <c r="F321" i="1" s="1"/>
  <c r="E322" i="1"/>
  <c r="E323" i="1"/>
  <c r="E324" i="1"/>
  <c r="E325" i="1"/>
  <c r="E326" i="1"/>
  <c r="E327" i="1"/>
  <c r="E328" i="1"/>
  <c r="E329" i="1"/>
  <c r="F329" i="1" s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F353" i="1" s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F377" i="1" s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F417" i="1" s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F441" i="1" s="1"/>
  <c r="E442" i="1"/>
  <c r="E443" i="1"/>
  <c r="E444" i="1"/>
  <c r="E445" i="1"/>
  <c r="E446" i="1"/>
  <c r="E447" i="1"/>
  <c r="E448" i="1"/>
  <c r="E449" i="1"/>
  <c r="F449" i="1" s="1"/>
  <c r="E450" i="1"/>
  <c r="E451" i="1"/>
  <c r="E452" i="1"/>
  <c r="E453" i="1"/>
  <c r="E454" i="1"/>
  <c r="E455" i="1"/>
  <c r="E456" i="1"/>
  <c r="E457" i="1"/>
  <c r="F457" i="1" s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F481" i="1" s="1"/>
  <c r="E482" i="1"/>
  <c r="E483" i="1"/>
  <c r="E484" i="1"/>
  <c r="E485" i="1"/>
  <c r="E486" i="1"/>
  <c r="E487" i="1"/>
  <c r="E488" i="1"/>
  <c r="E489" i="1"/>
  <c r="F489" i="1" s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F521" i="1" s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F545" i="1" s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F561" i="1" s="1"/>
  <c r="E562" i="1"/>
  <c r="E563" i="1"/>
  <c r="E564" i="1"/>
  <c r="E565" i="1"/>
  <c r="E566" i="1"/>
  <c r="E567" i="1"/>
  <c r="E568" i="1"/>
  <c r="E569" i="1"/>
  <c r="F569" i="1" s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F609" i="1" s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F625" i="1" s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F641" i="1" s="1"/>
  <c r="E642" i="1"/>
  <c r="E643" i="1"/>
  <c r="E644" i="1"/>
  <c r="E645" i="1"/>
  <c r="E646" i="1"/>
  <c r="E647" i="1"/>
  <c r="E648" i="1"/>
  <c r="E649" i="1"/>
  <c r="E650" i="1"/>
  <c r="E651" i="1"/>
  <c r="E652" i="1"/>
  <c r="E653" i="1"/>
  <c r="F653" i="1" s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F673" i="1" s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F689" i="1" s="1"/>
  <c r="E690" i="1"/>
  <c r="E691" i="1"/>
  <c r="E692" i="1"/>
  <c r="E693" i="1"/>
  <c r="E694" i="1"/>
  <c r="E148" i="1"/>
  <c r="O29" i="2"/>
  <c r="K32" i="2" a="1"/>
  <c r="K32" i="2" s="1"/>
  <c r="L32" i="2" s="1"/>
  <c r="K24" i="2" a="1"/>
  <c r="L26" i="2" s="1"/>
  <c r="F470" i="1"/>
  <c r="F277" i="1"/>
  <c r="F378" i="1"/>
  <c r="F26" i="1"/>
  <c r="F538" i="1"/>
  <c r="F13" i="1"/>
  <c r="F27" i="1"/>
  <c r="F83" i="1"/>
  <c r="F120" i="1"/>
  <c r="F82" i="1"/>
  <c r="F127" i="1"/>
  <c r="F131" i="1"/>
  <c r="F152" i="1"/>
  <c r="F527" i="1"/>
  <c r="F471" i="1"/>
  <c r="F375" i="1"/>
  <c r="F60" i="1"/>
  <c r="F30" i="1"/>
  <c r="Q388" i="1"/>
  <c r="Q125" i="1"/>
  <c r="Q513" i="1"/>
  <c r="Q306" i="1"/>
  <c r="Q302" i="1"/>
  <c r="Q270" i="1"/>
  <c r="Q35" i="1"/>
  <c r="Q680" i="1"/>
  <c r="Q672" i="1"/>
  <c r="Q668" i="1"/>
  <c r="Q660" i="1"/>
  <c r="Q652" i="1"/>
  <c r="Q556" i="1"/>
  <c r="Q548" i="1"/>
  <c r="Q416" i="1"/>
  <c r="Q412" i="1"/>
  <c r="Q408" i="1"/>
  <c r="Q396" i="1"/>
  <c r="Q109" i="1"/>
  <c r="Q290" i="1"/>
  <c r="Q274" i="1"/>
  <c r="Q65" i="1"/>
  <c r="Q297" i="1"/>
  <c r="Q647" i="1"/>
  <c r="Q661" i="1"/>
  <c r="Q641" i="1"/>
  <c r="Q381" i="1"/>
  <c r="Q317" i="1"/>
  <c r="Q202" i="1"/>
  <c r="Q148" i="1"/>
  <c r="Q561" i="1"/>
  <c r="Q557" i="1"/>
  <c r="Q541" i="1"/>
  <c r="Q445" i="1"/>
  <c r="Q429" i="1"/>
  <c r="Q401" i="1"/>
  <c r="Q320" i="1"/>
  <c r="Q627" i="1"/>
  <c r="Q545" i="1"/>
  <c r="Q509" i="1"/>
  <c r="Q437" i="1"/>
  <c r="Q421" i="1"/>
  <c r="Q397" i="1"/>
  <c r="Q266" i="1"/>
  <c r="Q524" i="1"/>
  <c r="Q181" i="1"/>
  <c r="Q675" i="1"/>
  <c r="Q40" i="1"/>
  <c r="Q619" i="1"/>
  <c r="Q264" i="1"/>
  <c r="Q256" i="1"/>
  <c r="Q252" i="1"/>
  <c r="Q248" i="1"/>
  <c r="Q208" i="1"/>
  <c r="Q204" i="1"/>
  <c r="Q90" i="1"/>
  <c r="Q549" i="1"/>
  <c r="Q473" i="1"/>
  <c r="Q441" i="1"/>
  <c r="Q393" i="1"/>
  <c r="Q616" i="1"/>
  <c r="Q600" i="1"/>
  <c r="Q540" i="1"/>
  <c r="Q273" i="1"/>
  <c r="Q172" i="1"/>
  <c r="Q168" i="1"/>
  <c r="Q175" i="1"/>
  <c r="Q166" i="1"/>
  <c r="Q79" i="1"/>
  <c r="Q29" i="1"/>
  <c r="Q76" i="1"/>
  <c r="Q563" i="1"/>
  <c r="Q455" i="1"/>
  <c r="Q666" i="1"/>
  <c r="Q650" i="1"/>
  <c r="Q587" i="1"/>
  <c r="Q485" i="1"/>
  <c r="Q253" i="1"/>
  <c r="Q209" i="1"/>
  <c r="Q186" i="1"/>
  <c r="Q50" i="1"/>
  <c r="Q113" i="1"/>
  <c r="Q677" i="1"/>
  <c r="Q386" i="1"/>
  <c r="Q334" i="1"/>
  <c r="Q201" i="1"/>
  <c r="Q174" i="1"/>
  <c r="Q108" i="1"/>
  <c r="Q95" i="1"/>
  <c r="Q51" i="1"/>
  <c r="Q15" i="1"/>
  <c r="Q83" i="1"/>
  <c r="Q122" i="1"/>
  <c r="Q163" i="1"/>
  <c r="Q460" i="1"/>
  <c r="Q601" i="1"/>
  <c r="Q589" i="1"/>
  <c r="Q585" i="1"/>
  <c r="Q581" i="1"/>
  <c r="Q507" i="1"/>
  <c r="Q499" i="1"/>
  <c r="Q483" i="1"/>
  <c r="Q479" i="1"/>
  <c r="Q475" i="1"/>
  <c r="Q428" i="1"/>
  <c r="Q384" i="1"/>
  <c r="Q368" i="1"/>
  <c r="Q352" i="1"/>
  <c r="Q293" i="1"/>
  <c r="Q25" i="1"/>
  <c r="Q149" i="1"/>
  <c r="Q26" i="1"/>
  <c r="Q22" i="1"/>
  <c r="Q150" i="1"/>
  <c r="Q628" i="1"/>
  <c r="Q537" i="1"/>
  <c r="Q525" i="1"/>
  <c r="Q304" i="1"/>
  <c r="Q234" i="1"/>
  <c r="Q226" i="1"/>
  <c r="Q210" i="1"/>
  <c r="Q164" i="1"/>
  <c r="Q688" i="1"/>
  <c r="Q404" i="1"/>
  <c r="Q691" i="1"/>
  <c r="Q447" i="1"/>
  <c r="Q239" i="1"/>
  <c r="Q608" i="1"/>
  <c r="Q604" i="1"/>
  <c r="Q405" i="1"/>
  <c r="Q370" i="1"/>
  <c r="Q362" i="1"/>
  <c r="Q354" i="1"/>
  <c r="Q338" i="1"/>
  <c r="Q319" i="1"/>
  <c r="Q315" i="1"/>
  <c r="Q311" i="1"/>
  <c r="Q241" i="1"/>
  <c r="Q233" i="1"/>
  <c r="Q225" i="1"/>
  <c r="Q217" i="1"/>
  <c r="Q9" i="1"/>
  <c r="Q649" i="1"/>
  <c r="Q572" i="1"/>
  <c r="Q568" i="1"/>
  <c r="Q564" i="1"/>
  <c r="Q448" i="1"/>
  <c r="Q432" i="1"/>
  <c r="Q385" i="1"/>
  <c r="Q314" i="1"/>
  <c r="Q240" i="1"/>
  <c r="Q224" i="1"/>
  <c r="Q78" i="1"/>
  <c r="Q420" i="1"/>
  <c r="Q369" i="1"/>
  <c r="Q361" i="1"/>
  <c r="Q345" i="1"/>
  <c r="Q235" i="1"/>
  <c r="Q139" i="1"/>
  <c r="Q644" i="1"/>
  <c r="Q602" i="1"/>
  <c r="Q559" i="1"/>
  <c r="Q543" i="1"/>
  <c r="Q395" i="1"/>
  <c r="Q380" i="1"/>
  <c r="Q336" i="1"/>
  <c r="Q170" i="1"/>
  <c r="Q183" i="1"/>
  <c r="Q178" i="1"/>
  <c r="Q111" i="1"/>
  <c r="Q70" i="1"/>
  <c r="Q55" i="1"/>
  <c r="Q69" i="1"/>
  <c r="Q10" i="1"/>
  <c r="Q62" i="1"/>
  <c r="Q48" i="1"/>
  <c r="Q44" i="1"/>
  <c r="Q629" i="1"/>
  <c r="Q521" i="1"/>
  <c r="Q659" i="1"/>
  <c r="Q516" i="1"/>
  <c r="Q505" i="1"/>
  <c r="Q501" i="1"/>
  <c r="Q426" i="1"/>
  <c r="Q262" i="1"/>
  <c r="Q258" i="1"/>
  <c r="Q254" i="1"/>
  <c r="Q242" i="1"/>
  <c r="Q93" i="1"/>
  <c r="Q353" i="1"/>
  <c r="Q329" i="1"/>
  <c r="Q321" i="1"/>
  <c r="Q633" i="1"/>
  <c r="Q451" i="1"/>
  <c r="Q231" i="1"/>
  <c r="Q215" i="1"/>
  <c r="Q655" i="1"/>
  <c r="Q689" i="1"/>
  <c r="Q685" i="1"/>
  <c r="Q658" i="1"/>
  <c r="Q613" i="1"/>
  <c r="Q609" i="1"/>
  <c r="Q531" i="1"/>
  <c r="Q527" i="1"/>
  <c r="Q500" i="1"/>
  <c r="Q484" i="1"/>
  <c r="Q480" i="1"/>
  <c r="Q449" i="1"/>
  <c r="Q410" i="1"/>
  <c r="Q406" i="1"/>
  <c r="Q402" i="1"/>
  <c r="Q363" i="1"/>
  <c r="Q296" i="1"/>
  <c r="Q284" i="1"/>
  <c r="Q30" i="1"/>
  <c r="Q86" i="1"/>
  <c r="Q80" i="1"/>
  <c r="Q99" i="1"/>
  <c r="Q114" i="1"/>
  <c r="Q577" i="1"/>
  <c r="Q523" i="1"/>
  <c r="Q519" i="1"/>
  <c r="Q389" i="1"/>
  <c r="Q359" i="1"/>
  <c r="Q343" i="1"/>
  <c r="Q229" i="1"/>
  <c r="Q206" i="1"/>
  <c r="Q187" i="1"/>
  <c r="Q115" i="1"/>
  <c r="Q576" i="1"/>
  <c r="Q452" i="1"/>
  <c r="Q330" i="1"/>
  <c r="Q19" i="1"/>
  <c r="Q607" i="1"/>
  <c r="Q583" i="1"/>
  <c r="Q443" i="1"/>
  <c r="Q431" i="1"/>
  <c r="Q278" i="1"/>
  <c r="Q267" i="1"/>
  <c r="Q100" i="1"/>
  <c r="Q98" i="1"/>
  <c r="Q684" i="1"/>
  <c r="Q592" i="1"/>
  <c r="Q664" i="1"/>
  <c r="Q294" i="1"/>
  <c r="Q282" i="1"/>
  <c r="Q313" i="1"/>
  <c r="Q87" i="1"/>
  <c r="Q31" i="1"/>
  <c r="Q683" i="1"/>
  <c r="Q579" i="1"/>
  <c r="Q337" i="1"/>
  <c r="Q286" i="1"/>
  <c r="Q594" i="1"/>
  <c r="Q508" i="1"/>
  <c r="Q497" i="1"/>
  <c r="Q489" i="1"/>
  <c r="Q481" i="1"/>
  <c r="Q332" i="1"/>
  <c r="Q636" i="1"/>
  <c r="Q625" i="1"/>
  <c r="Q621" i="1"/>
  <c r="Q562" i="1"/>
  <c r="Q467" i="1"/>
  <c r="Q463" i="1"/>
  <c r="Q387" i="1"/>
  <c r="Q383" i="1"/>
  <c r="Q326" i="1"/>
  <c r="Q322" i="1"/>
  <c r="Q299" i="1"/>
  <c r="Q272" i="1"/>
  <c r="Q265" i="1"/>
  <c r="Q257" i="1"/>
  <c r="Q238" i="1"/>
  <c r="Q200" i="1"/>
  <c r="Q89" i="1"/>
  <c r="Q85" i="1"/>
  <c r="Q74" i="1"/>
  <c r="Q57" i="1"/>
  <c r="Q42" i="1"/>
  <c r="Q37" i="1"/>
  <c r="Q140" i="1"/>
  <c r="Q690" i="1"/>
  <c r="Q687" i="1"/>
  <c r="Q669" i="1"/>
  <c r="Q665" i="1"/>
  <c r="Q654" i="1"/>
  <c r="Q643" i="1"/>
  <c r="Q639" i="1"/>
  <c r="Q624" i="1"/>
  <c r="Q599" i="1"/>
  <c r="Q595" i="1"/>
  <c r="Q584" i="1"/>
  <c r="Q580" i="1"/>
  <c r="Q569" i="1"/>
  <c r="Q444" i="1"/>
  <c r="Q436" i="1"/>
  <c r="Q417" i="1"/>
  <c r="Q413" i="1"/>
  <c r="Q409" i="1"/>
  <c r="Q394" i="1"/>
  <c r="Q390" i="1"/>
  <c r="Q379" i="1"/>
  <c r="Q360" i="1"/>
  <c r="Q348" i="1"/>
  <c r="Q318" i="1"/>
  <c r="Q298" i="1"/>
  <c r="Q295" i="1"/>
  <c r="Q279" i="1"/>
  <c r="Q268" i="1"/>
  <c r="Q249" i="1"/>
  <c r="Q230" i="1"/>
  <c r="Q222" i="1"/>
  <c r="Q218" i="1"/>
  <c r="Q214" i="1"/>
  <c r="Q203" i="1"/>
  <c r="Q188" i="1"/>
  <c r="Q177" i="1"/>
  <c r="Q12" i="1"/>
  <c r="Q16" i="1"/>
  <c r="Q6" i="1"/>
  <c r="Q84" i="1"/>
  <c r="Q24" i="1"/>
  <c r="Q161" i="1"/>
  <c r="Q127" i="1"/>
  <c r="Q123" i="1"/>
  <c r="Q605" i="1"/>
  <c r="Q560" i="1"/>
  <c r="Q515" i="1"/>
  <c r="Q461" i="1"/>
  <c r="Q427" i="1"/>
  <c r="Q328" i="1"/>
  <c r="Q198" i="1"/>
  <c r="Q18" i="1"/>
  <c r="Q72" i="1"/>
  <c r="Q59" i="1"/>
  <c r="Q52" i="1"/>
  <c r="Q45" i="1"/>
  <c r="Q634" i="1"/>
  <c r="Q526" i="1"/>
  <c r="Q457" i="1"/>
  <c r="Q366" i="1"/>
  <c r="Q305" i="1"/>
  <c r="Q645" i="1"/>
  <c r="Q593" i="1"/>
  <c r="Q575" i="1"/>
  <c r="Q552" i="1"/>
  <c r="Q544" i="1"/>
  <c r="Q533" i="1"/>
  <c r="Q503" i="1"/>
  <c r="Q492" i="1"/>
  <c r="Q476" i="1"/>
  <c r="Q434" i="1"/>
  <c r="Q419" i="1"/>
  <c r="Q411" i="1"/>
  <c r="Q403" i="1"/>
  <c r="Q377" i="1"/>
  <c r="Q358" i="1"/>
  <c r="Q350" i="1"/>
  <c r="Q346" i="1"/>
  <c r="Q342" i="1"/>
  <c r="Q331" i="1"/>
  <c r="Q316" i="1"/>
  <c r="Q312" i="1"/>
  <c r="Q289" i="1"/>
  <c r="Q281" i="1"/>
  <c r="Q255" i="1"/>
  <c r="Q251" i="1"/>
  <c r="Q247" i="1"/>
  <c r="Q232" i="1"/>
  <c r="Q220" i="1"/>
  <c r="Q190" i="1"/>
  <c r="Q92" i="1"/>
  <c r="Q58" i="1"/>
  <c r="Q38" i="1"/>
  <c r="Q96" i="1"/>
  <c r="Q112" i="1"/>
  <c r="Q121" i="1"/>
  <c r="Q679" i="1"/>
  <c r="Q656" i="1"/>
  <c r="Q465" i="1"/>
  <c r="Q450" i="1"/>
  <c r="Q596" i="1"/>
  <c r="Q555" i="1"/>
  <c r="Q551" i="1"/>
  <c r="Q536" i="1"/>
  <c r="Q532" i="1"/>
  <c r="Q529" i="1"/>
  <c r="Q514" i="1"/>
  <c r="Q495" i="1"/>
  <c r="Q491" i="1"/>
  <c r="Q433" i="1"/>
  <c r="Q422" i="1"/>
  <c r="Q357" i="1"/>
  <c r="Q288" i="1"/>
  <c r="Q250" i="1"/>
  <c r="Q189" i="1"/>
  <c r="Q107" i="1"/>
  <c r="Q82" i="1"/>
  <c r="Q91" i="1"/>
  <c r="Q120" i="1"/>
  <c r="Q693" i="1"/>
  <c r="Q670" i="1"/>
  <c r="Q667" i="1"/>
  <c r="Q603" i="1"/>
  <c r="Q567" i="1"/>
  <c r="Q553" i="1"/>
  <c r="Q547" i="1"/>
  <c r="Q153" i="1"/>
  <c r="Q692" i="1"/>
  <c r="Q676" i="1"/>
  <c r="Q673" i="1"/>
  <c r="Q663" i="1"/>
  <c r="Q653" i="1"/>
  <c r="Q640" i="1"/>
  <c r="Q626" i="1"/>
  <c r="Q612" i="1"/>
  <c r="Q573" i="1"/>
  <c r="Q530" i="1"/>
  <c r="Q512" i="1"/>
  <c r="Q472" i="1"/>
  <c r="Q468" i="1"/>
  <c r="Q400" i="1"/>
  <c r="Q184" i="1"/>
  <c r="Q43" i="1"/>
  <c r="Q75" i="1"/>
  <c r="Q33" i="1"/>
  <c r="Q657" i="1"/>
  <c r="Q637" i="1"/>
  <c r="Q623" i="1"/>
  <c r="Q570" i="1"/>
  <c r="Q615" i="1"/>
  <c r="Q588" i="1"/>
  <c r="Q464" i="1"/>
  <c r="Q440" i="1"/>
  <c r="Q376" i="1"/>
  <c r="Q349" i="1"/>
  <c r="Q325" i="1"/>
  <c r="Q285" i="1"/>
  <c r="Q261" i="1"/>
  <c r="Q221" i="1"/>
  <c r="Q197" i="1"/>
  <c r="Q179" i="1"/>
  <c r="Q11" i="1"/>
  <c r="Q66" i="1"/>
  <c r="Q21" i="1"/>
  <c r="Q97" i="1"/>
  <c r="Q106" i="1"/>
  <c r="Q126" i="1"/>
  <c r="Q137" i="1"/>
  <c r="Q682" i="1"/>
  <c r="Q642" i="1"/>
  <c r="Q635" i="1"/>
  <c r="Q632" i="1"/>
  <c r="Q618" i="1"/>
  <c r="Q611" i="1"/>
  <c r="Q591" i="1"/>
  <c r="Q565" i="1"/>
  <c r="Q539" i="1"/>
  <c r="Q528" i="1"/>
  <c r="Q511" i="1"/>
  <c r="Q504" i="1"/>
  <c r="Q488" i="1"/>
  <c r="Q478" i="1"/>
  <c r="Q471" i="1"/>
  <c r="Q456" i="1"/>
  <c r="Q453" i="1"/>
  <c r="Q399" i="1"/>
  <c r="Q392" i="1"/>
  <c r="Q365" i="1"/>
  <c r="Q341" i="1"/>
  <c r="Q335" i="1"/>
  <c r="Q301" i="1"/>
  <c r="Q277" i="1"/>
  <c r="Q271" i="1"/>
  <c r="Q237" i="1"/>
  <c r="Q213" i="1"/>
  <c r="Q207" i="1"/>
  <c r="Q158" i="1"/>
  <c r="Q165" i="1"/>
  <c r="Q94" i="1"/>
  <c r="Q60" i="1"/>
  <c r="Q7" i="1"/>
  <c r="Q5" i="1"/>
  <c r="Q88" i="1"/>
  <c r="Q67" i="1"/>
  <c r="Q49" i="1"/>
  <c r="Q41" i="1"/>
  <c r="Q28" i="1"/>
  <c r="Q101" i="1"/>
  <c r="Q681" i="1"/>
  <c r="Q674" i="1"/>
  <c r="Q671" i="1"/>
  <c r="Q651" i="1"/>
  <c r="Q648" i="1"/>
  <c r="Q638" i="1"/>
  <c r="Q631" i="1"/>
  <c r="Q620" i="1"/>
  <c r="Q617" i="1"/>
  <c r="Q597" i="1"/>
  <c r="Q571" i="1"/>
  <c r="Q538" i="1"/>
  <c r="Q535" i="1"/>
  <c r="Q520" i="1"/>
  <c r="Q517" i="1"/>
  <c r="Q477" i="1"/>
  <c r="Q415" i="1"/>
  <c r="Q351" i="1"/>
  <c r="Q287" i="1"/>
  <c r="Q223" i="1"/>
  <c r="Q173" i="1"/>
  <c r="Q63" i="1"/>
  <c r="Q14" i="1"/>
  <c r="Q54" i="1"/>
  <c r="Q39" i="1"/>
  <c r="Q20" i="1"/>
  <c r="Q487" i="1"/>
  <c r="Q466" i="1"/>
  <c r="Q462" i="1"/>
  <c r="Q459" i="1"/>
  <c r="Q438" i="1"/>
  <c r="Q435" i="1"/>
  <c r="Q425" i="1"/>
  <c r="Q418" i="1"/>
  <c r="Q378" i="1"/>
  <c r="Q374" i="1"/>
  <c r="Q364" i="1"/>
  <c r="Q347" i="1"/>
  <c r="Q344" i="1"/>
  <c r="Q327" i="1"/>
  <c r="Q310" i="1"/>
  <c r="Q300" i="1"/>
  <c r="Q283" i="1"/>
  <c r="Q280" i="1"/>
  <c r="Q263" i="1"/>
  <c r="Q246" i="1"/>
  <c r="Q236" i="1"/>
  <c r="Q219" i="1"/>
  <c r="Q216" i="1"/>
  <c r="Q199" i="1"/>
  <c r="Q185" i="1"/>
  <c r="Q182" i="1"/>
  <c r="Q176" i="1"/>
  <c r="Q117" i="1"/>
  <c r="Q64" i="1"/>
  <c r="Q73" i="1"/>
  <c r="Q56" i="1"/>
  <c r="Q162" i="1"/>
  <c r="Q496" i="1"/>
  <c r="Q493" i="1"/>
  <c r="Q469" i="1"/>
  <c r="Q424" i="1"/>
  <c r="Q373" i="1"/>
  <c r="Q367" i="1"/>
  <c r="Q333" i="1"/>
  <c r="Q309" i="1"/>
  <c r="Q303" i="1"/>
  <c r="Q269" i="1"/>
  <c r="Q245" i="1"/>
  <c r="Q205" i="1"/>
  <c r="Q171" i="1"/>
  <c r="Q167" i="1"/>
  <c r="Q17" i="1"/>
  <c r="Q81" i="1"/>
  <c r="Q53" i="1"/>
  <c r="Q61" i="1"/>
  <c r="Q47" i="1"/>
  <c r="Q34" i="1"/>
  <c r="Q23" i="1"/>
  <c r="Q118" i="1"/>
  <c r="Q145" i="1"/>
  <c r="Q124" i="1"/>
  <c r="Q622" i="1"/>
  <c r="Q590" i="1"/>
  <c r="Q474" i="1"/>
  <c r="Q154" i="1"/>
  <c r="Q662" i="1"/>
  <c r="Q614" i="1"/>
  <c r="Q582" i="1"/>
  <c r="Q550" i="1"/>
  <c r="Q502" i="1"/>
  <c r="Q490" i="1"/>
  <c r="Q68" i="1"/>
  <c r="Q36" i="1"/>
  <c r="Q116" i="1"/>
  <c r="Q558" i="1"/>
  <c r="Q486" i="1"/>
  <c r="Q510" i="1"/>
  <c r="Q498" i="1"/>
  <c r="Q382" i="1"/>
  <c r="Q356" i="1"/>
  <c r="Q308" i="1"/>
  <c r="Q292" i="1"/>
  <c r="Q228" i="1"/>
  <c r="Q8" i="1"/>
  <c r="Q694" i="1"/>
  <c r="Q630" i="1"/>
  <c r="Q598" i="1"/>
  <c r="Q566" i="1"/>
  <c r="Q534" i="1"/>
  <c r="Q522" i="1"/>
  <c r="Q470" i="1"/>
  <c r="Q458" i="1"/>
  <c r="Q169" i="1"/>
  <c r="Q77" i="1"/>
  <c r="Q110" i="1"/>
  <c r="Q678" i="1"/>
  <c r="Q578" i="1"/>
  <c r="Q446" i="1"/>
  <c r="Q430" i="1"/>
  <c r="Q398" i="1"/>
  <c r="Q244" i="1"/>
  <c r="Q212" i="1"/>
  <c r="Q119" i="1"/>
  <c r="Q586" i="1"/>
  <c r="Q554" i="1"/>
  <c r="Q494" i="1"/>
  <c r="Q482" i="1"/>
  <c r="Q439" i="1"/>
  <c r="Q423" i="1"/>
  <c r="Q407" i="1"/>
  <c r="Q391" i="1"/>
  <c r="Q375" i="1"/>
  <c r="Q371" i="1"/>
  <c r="Q355" i="1"/>
  <c r="Q339" i="1"/>
  <c r="Q323" i="1"/>
  <c r="Q307" i="1"/>
  <c r="Q291" i="1"/>
  <c r="Q275" i="1"/>
  <c r="Q259" i="1"/>
  <c r="Q243" i="1"/>
  <c r="Q227" i="1"/>
  <c r="Q211" i="1"/>
  <c r="Q195" i="1"/>
  <c r="Q71" i="1"/>
  <c r="Q46" i="1"/>
  <c r="Q686" i="1"/>
  <c r="Q610" i="1"/>
  <c r="Q546" i="1"/>
  <c r="Q414" i="1"/>
  <c r="Q372" i="1"/>
  <c r="Q340" i="1"/>
  <c r="Q324" i="1"/>
  <c r="Q276" i="1"/>
  <c r="Q260" i="1"/>
  <c r="Q196" i="1"/>
  <c r="Q27" i="1"/>
  <c r="Q152" i="1"/>
  <c r="Q646" i="1"/>
  <c r="Q606" i="1"/>
  <c r="Q574" i="1"/>
  <c r="Q542" i="1"/>
  <c r="Q518" i="1"/>
  <c r="Q506" i="1"/>
  <c r="Q454" i="1"/>
  <c r="Q442" i="1"/>
  <c r="Q13" i="1"/>
  <c r="Q180" i="1"/>
  <c r="Q143" i="1"/>
  <c r="Q138" i="1"/>
  <c r="Q146" i="1"/>
  <c r="Q147" i="1"/>
  <c r="Q130" i="1"/>
  <c r="Q142" i="1"/>
  <c r="Q129" i="1"/>
  <c r="Q156" i="1"/>
  <c r="Q144" i="1"/>
  <c r="Q141" i="1"/>
  <c r="Q135" i="1"/>
  <c r="Q157" i="1"/>
  <c r="Q155" i="1"/>
  <c r="Q131" i="1"/>
  <c r="Q132" i="1"/>
  <c r="Q134" i="1"/>
  <c r="Q128" i="1"/>
  <c r="Q151" i="1"/>
  <c r="Q136" i="1"/>
  <c r="Q133" i="1"/>
  <c r="C47" i="4"/>
  <c r="C99" i="4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F183" i="1" l="1"/>
  <c r="F688" i="1"/>
  <c r="F568" i="1"/>
  <c r="F352" i="1"/>
  <c r="F45" i="1"/>
  <c r="F586" i="1"/>
  <c r="F370" i="1"/>
  <c r="F203" i="1"/>
  <c r="F651" i="1"/>
  <c r="F643" i="1"/>
  <c r="F635" i="1"/>
  <c r="F627" i="1"/>
  <c r="F619" i="1"/>
  <c r="F611" i="1"/>
  <c r="F603" i="1"/>
  <c r="F595" i="1"/>
  <c r="F587" i="1"/>
  <c r="F571" i="1"/>
  <c r="F563" i="1"/>
  <c r="F547" i="1"/>
  <c r="F539" i="1"/>
  <c r="F523" i="1"/>
  <c r="F515" i="1"/>
  <c r="F507" i="1"/>
  <c r="F499" i="1"/>
  <c r="F491" i="1"/>
  <c r="F483" i="1"/>
  <c r="F475" i="1"/>
  <c r="F467" i="1"/>
  <c r="F459" i="1"/>
  <c r="F451" i="1"/>
  <c r="F435" i="1"/>
  <c r="F419" i="1"/>
  <c r="F411" i="1"/>
  <c r="F671" i="1"/>
  <c r="F615" i="1"/>
  <c r="F591" i="1"/>
  <c r="F399" i="1"/>
  <c r="F367" i="1"/>
  <c r="F247" i="1"/>
  <c r="F231" i="1"/>
  <c r="F52" i="1"/>
  <c r="F96" i="1"/>
  <c r="F137" i="1"/>
  <c r="F59" i="1"/>
  <c r="F369" i="1"/>
  <c r="F54" i="1"/>
  <c r="F579" i="1"/>
  <c r="F443" i="1"/>
  <c r="F555" i="1"/>
  <c r="F427" i="1"/>
  <c r="F251" i="1"/>
  <c r="F172" i="1"/>
  <c r="F165" i="1"/>
  <c r="F70" i="1"/>
  <c r="F7" i="1"/>
  <c r="F687" i="1"/>
  <c r="F663" i="1"/>
  <c r="F599" i="1"/>
  <c r="F543" i="1"/>
  <c r="F511" i="1"/>
  <c r="F439" i="1"/>
  <c r="F319" i="1"/>
  <c r="F303" i="1"/>
  <c r="F295" i="1"/>
  <c r="F223" i="1"/>
  <c r="F48" i="1"/>
  <c r="F11" i="1"/>
  <c r="F658" i="1"/>
  <c r="F650" i="1"/>
  <c r="F626" i="1"/>
  <c r="F618" i="1"/>
  <c r="F594" i="1"/>
  <c r="F570" i="1"/>
  <c r="F562" i="1"/>
  <c r="F554" i="1"/>
  <c r="F546" i="1"/>
  <c r="F530" i="1"/>
  <c r="F522" i="1"/>
  <c r="F514" i="1"/>
  <c r="F506" i="1"/>
  <c r="F498" i="1"/>
  <c r="F490" i="1"/>
  <c r="F482" i="1"/>
  <c r="F474" i="1"/>
  <c r="F458" i="1"/>
  <c r="F450" i="1"/>
  <c r="F442" i="1"/>
  <c r="F410" i="1"/>
  <c r="F402" i="1"/>
  <c r="F394" i="1"/>
  <c r="F386" i="1"/>
  <c r="F354" i="1"/>
  <c r="F338" i="1"/>
  <c r="F322" i="1"/>
  <c r="F314" i="1"/>
  <c r="F306" i="1"/>
  <c r="F298" i="1"/>
  <c r="F290" i="1"/>
  <c r="F266" i="1"/>
  <c r="F250" i="1"/>
  <c r="F242" i="1"/>
  <c r="F234" i="1"/>
  <c r="F226" i="1"/>
  <c r="F210" i="1"/>
  <c r="F613" i="1"/>
  <c r="F549" i="1"/>
  <c r="F349" i="1"/>
  <c r="F341" i="1"/>
  <c r="F301" i="1"/>
  <c r="F196" i="1"/>
  <c r="F173" i="1"/>
  <c r="F64" i="1"/>
  <c r="F62" i="1"/>
  <c r="F34" i="1"/>
  <c r="F98" i="1"/>
  <c r="F102" i="1"/>
  <c r="F149" i="1"/>
  <c r="F163" i="1"/>
  <c r="F103" i="1"/>
  <c r="F182" i="1"/>
  <c r="F78" i="1"/>
  <c r="F81" i="1"/>
  <c r="F31" i="1"/>
  <c r="F97" i="1"/>
  <c r="F162" i="1"/>
  <c r="F133" i="1"/>
  <c r="F675" i="1"/>
  <c r="Q191" i="1"/>
  <c r="F691" i="1"/>
  <c r="F667" i="1"/>
  <c r="F531" i="1"/>
  <c r="F686" i="1"/>
  <c r="F598" i="1"/>
  <c r="F574" i="1"/>
  <c r="F534" i="1"/>
  <c r="F518" i="1"/>
  <c r="F486" i="1"/>
  <c r="F462" i="1"/>
  <c r="F454" i="1"/>
  <c r="F438" i="1"/>
  <c r="F390" i="1"/>
  <c r="F374" i="1"/>
  <c r="F318" i="1"/>
  <c r="F310" i="1"/>
  <c r="F302" i="1"/>
  <c r="F262" i="1"/>
  <c r="F230" i="1"/>
  <c r="F214" i="1"/>
  <c r="F683" i="1"/>
  <c r="F659" i="1"/>
  <c r="E4" i="5"/>
  <c r="F185" i="1"/>
  <c r="F29" i="1"/>
  <c r="F88" i="1"/>
  <c r="F109" i="1"/>
  <c r="F187" i="1"/>
  <c r="F168" i="1"/>
  <c r="F111" i="1"/>
  <c r="F18" i="1"/>
  <c r="F44" i="1"/>
  <c r="F118" i="1"/>
  <c r="F144" i="1"/>
  <c r="F153" i="1"/>
  <c r="F105" i="1"/>
  <c r="F113" i="1"/>
  <c r="F665" i="1"/>
  <c r="F537" i="1"/>
  <c r="F409" i="1"/>
  <c r="F281" i="1"/>
  <c r="F190" i="1"/>
  <c r="F496" i="1"/>
  <c r="F681" i="1"/>
  <c r="F633" i="1"/>
  <c r="F617" i="1"/>
  <c r="F601" i="1"/>
  <c r="F553" i="1"/>
  <c r="F513" i="1"/>
  <c r="F497" i="1"/>
  <c r="F473" i="1"/>
  <c r="F425" i="1"/>
  <c r="F393" i="1"/>
  <c r="F385" i="1"/>
  <c r="F345" i="1"/>
  <c r="F305" i="1"/>
  <c r="F289" i="1"/>
  <c r="F265" i="1"/>
  <c r="F233" i="1"/>
  <c r="F17" i="1"/>
  <c r="F28" i="1"/>
  <c r="F464" i="1"/>
  <c r="F685" i="1"/>
  <c r="F597" i="1"/>
  <c r="F525" i="1"/>
  <c r="F477" i="1"/>
  <c r="F461" i="1"/>
  <c r="F684" i="1"/>
  <c r="F620" i="1"/>
  <c r="F500" i="1"/>
  <c r="F460" i="1"/>
  <c r="F412" i="1"/>
  <c r="F404" i="1"/>
  <c r="F356" i="1"/>
  <c r="F324" i="1"/>
  <c r="F300" i="1"/>
  <c r="F260" i="1"/>
  <c r="F236" i="1"/>
  <c r="F212" i="1"/>
  <c r="F158" i="1"/>
  <c r="F87" i="1"/>
  <c r="F72" i="1"/>
  <c r="F129" i="1"/>
  <c r="F142" i="1"/>
  <c r="F677" i="1"/>
  <c r="F605" i="1"/>
  <c r="F581" i="1"/>
  <c r="F533" i="1"/>
  <c r="F469" i="1"/>
  <c r="F453" i="1"/>
  <c r="F397" i="1"/>
  <c r="F373" i="1"/>
  <c r="F317" i="1"/>
  <c r="F253" i="1"/>
  <c r="F245" i="1"/>
  <c r="F229" i="1"/>
  <c r="F692" i="1"/>
  <c r="F668" i="1"/>
  <c r="F644" i="1"/>
  <c r="F628" i="1"/>
  <c r="F604" i="1"/>
  <c r="F564" i="1"/>
  <c r="F556" i="1"/>
  <c r="F524" i="1"/>
  <c r="F484" i="1"/>
  <c r="F396" i="1"/>
  <c r="F95" i="1"/>
  <c r="F195" i="1"/>
  <c r="F69" i="1"/>
  <c r="F61" i="1"/>
  <c r="F23" i="1"/>
  <c r="F124" i="1"/>
  <c r="F141" i="1"/>
  <c r="F646" i="1"/>
  <c r="F366" i="1"/>
  <c r="F99" i="1"/>
  <c r="F93" i="1"/>
  <c r="F136" i="1"/>
  <c r="F10" i="1"/>
  <c r="F117" i="1"/>
  <c r="F403" i="1"/>
  <c r="F395" i="1"/>
  <c r="F387" i="1"/>
  <c r="F379" i="1"/>
  <c r="F371" i="1"/>
  <c r="F363" i="1"/>
  <c r="F355" i="1"/>
  <c r="F347" i="1"/>
  <c r="F339" i="1"/>
  <c r="F331" i="1"/>
  <c r="F323" i="1"/>
  <c r="F315" i="1"/>
  <c r="F307" i="1"/>
  <c r="F299" i="1"/>
  <c r="F291" i="1"/>
  <c r="F283" i="1"/>
  <c r="F267" i="1"/>
  <c r="F259" i="1"/>
  <c r="F243" i="1"/>
  <c r="F235" i="1"/>
  <c r="F227" i="1"/>
  <c r="F219" i="1"/>
  <c r="F211" i="1"/>
  <c r="F171" i="1"/>
  <c r="F116" i="1"/>
  <c r="F71" i="1"/>
  <c r="F68" i="1"/>
  <c r="F8" i="1"/>
  <c r="F86" i="1"/>
  <c r="F80" i="1"/>
  <c r="F56" i="1"/>
  <c r="F49" i="1"/>
  <c r="F40" i="1"/>
  <c r="F20" i="1"/>
  <c r="F91" i="1"/>
  <c r="F161" i="1"/>
  <c r="F134" i="1"/>
  <c r="F140" i="1"/>
  <c r="F156" i="1"/>
  <c r="F690" i="1"/>
  <c r="F682" i="1"/>
  <c r="F674" i="1"/>
  <c r="F666" i="1"/>
  <c r="F642" i="1"/>
  <c r="F634" i="1"/>
  <c r="F610" i="1"/>
  <c r="F466" i="1"/>
  <c r="F426" i="1"/>
  <c r="F418" i="1"/>
  <c r="F362" i="1"/>
  <c r="F330" i="1"/>
  <c r="F274" i="1"/>
  <c r="F258" i="1"/>
  <c r="F107" i="1"/>
  <c r="F85" i="1"/>
  <c r="F33" i="1"/>
  <c r="F122" i="1"/>
  <c r="F138" i="1"/>
  <c r="F181" i="1"/>
  <c r="F678" i="1"/>
  <c r="F670" i="1"/>
  <c r="F662" i="1"/>
  <c r="F654" i="1"/>
  <c r="F638" i="1"/>
  <c r="F630" i="1"/>
  <c r="F606" i="1"/>
  <c r="F590" i="1"/>
  <c r="F582" i="1"/>
  <c r="F566" i="1"/>
  <c r="F550" i="1"/>
  <c r="F542" i="1"/>
  <c r="F526" i="1"/>
  <c r="F510" i="1"/>
  <c r="F502" i="1"/>
  <c r="F494" i="1"/>
  <c r="F478" i="1"/>
  <c r="F446" i="1"/>
  <c r="F430" i="1"/>
  <c r="F422" i="1"/>
  <c r="F414" i="1"/>
  <c r="F406" i="1"/>
  <c r="F398" i="1"/>
  <c r="F350" i="1"/>
  <c r="F342" i="1"/>
  <c r="F334" i="1"/>
  <c r="F326" i="1"/>
  <c r="F286" i="1"/>
  <c r="F270" i="1"/>
  <c r="F254" i="1"/>
  <c r="F222" i="1"/>
  <c r="F130" i="1"/>
  <c r="F669" i="1"/>
  <c r="F621" i="1"/>
  <c r="F541" i="1"/>
  <c r="F509" i="1"/>
  <c r="F429" i="1"/>
  <c r="F405" i="1"/>
  <c r="F333" i="1"/>
  <c r="F269" i="1"/>
  <c r="F205" i="1"/>
  <c r="F43" i="1"/>
  <c r="F89" i="1"/>
  <c r="F24" i="1"/>
  <c r="F125" i="1"/>
  <c r="F177" i="1"/>
  <c r="F194" i="1"/>
  <c r="F657" i="1"/>
  <c r="F649" i="1"/>
  <c r="F593" i="1"/>
  <c r="F577" i="1"/>
  <c r="F529" i="1"/>
  <c r="F505" i="1"/>
  <c r="F465" i="1"/>
  <c r="F433" i="1"/>
  <c r="F401" i="1"/>
  <c r="F361" i="1"/>
  <c r="F337" i="1"/>
  <c r="F273" i="1"/>
  <c r="F209" i="1"/>
  <c r="F22" i="1"/>
  <c r="F38" i="1"/>
  <c r="F57" i="1"/>
  <c r="F680" i="1"/>
  <c r="F648" i="1"/>
  <c r="F632" i="1"/>
  <c r="F616" i="1"/>
  <c r="F584" i="1"/>
  <c r="F552" i="1"/>
  <c r="F536" i="1"/>
  <c r="F520" i="1"/>
  <c r="F504" i="1"/>
  <c r="F488" i="1"/>
  <c r="F472" i="1"/>
  <c r="F456" i="1"/>
  <c r="F440" i="1"/>
  <c r="F424" i="1"/>
  <c r="F408" i="1"/>
  <c r="F392" i="1"/>
  <c r="F376" i="1"/>
  <c r="F360" i="1"/>
  <c r="F344" i="1"/>
  <c r="F328" i="1"/>
  <c r="F312" i="1"/>
  <c r="F296" i="1"/>
  <c r="F280" i="1"/>
  <c r="F264" i="1"/>
  <c r="F200" i="1"/>
  <c r="F672" i="1"/>
  <c r="F656" i="1"/>
  <c r="F640" i="1"/>
  <c r="F624" i="1"/>
  <c r="F608" i="1"/>
  <c r="F592" i="1"/>
  <c r="F576" i="1"/>
  <c r="F560" i="1"/>
  <c r="F544" i="1"/>
  <c r="F528" i="1"/>
  <c r="F512" i="1"/>
  <c r="F480" i="1"/>
  <c r="F448" i="1"/>
  <c r="F432" i="1"/>
  <c r="F416" i="1"/>
  <c r="F400" i="1"/>
  <c r="F384" i="1"/>
  <c r="F368" i="1"/>
  <c r="F336" i="1"/>
  <c r="F320" i="1"/>
  <c r="F304" i="1"/>
  <c r="F288" i="1"/>
  <c r="F272" i="1"/>
  <c r="F256" i="1"/>
  <c r="F248" i="1"/>
  <c r="F240" i="1"/>
  <c r="F232" i="1"/>
  <c r="F224" i="1"/>
  <c r="F216" i="1"/>
  <c r="F208" i="1"/>
  <c r="F188" i="1"/>
  <c r="F169" i="1"/>
  <c r="F108" i="1"/>
  <c r="F51" i="1"/>
  <c r="F9" i="1"/>
  <c r="F84" i="1"/>
  <c r="F58" i="1"/>
  <c r="F100" i="1"/>
  <c r="F115" i="1"/>
  <c r="F121" i="1"/>
  <c r="F128" i="1"/>
  <c r="F139" i="1"/>
  <c r="F145" i="1"/>
  <c r="F154" i="1"/>
  <c r="F215" i="1"/>
  <c r="F207" i="1"/>
  <c r="F75" i="1"/>
  <c r="F132" i="1"/>
  <c r="F184" i="1"/>
  <c r="F159" i="1"/>
  <c r="F198" i="1"/>
  <c r="F74" i="1"/>
  <c r="F148" i="1"/>
  <c r="F679" i="1"/>
  <c r="F655" i="1"/>
  <c r="F639" i="1"/>
  <c r="F631" i="1"/>
  <c r="F623" i="1"/>
  <c r="F607" i="1"/>
  <c r="F575" i="1"/>
  <c r="F567" i="1"/>
  <c r="F559" i="1"/>
  <c r="F551" i="1"/>
  <c r="F535" i="1"/>
  <c r="F503" i="1"/>
  <c r="F495" i="1"/>
  <c r="F487" i="1"/>
  <c r="F479" i="1"/>
  <c r="F463" i="1"/>
  <c r="F431" i="1"/>
  <c r="F423" i="1"/>
  <c r="F415" i="1"/>
  <c r="F407" i="1"/>
  <c r="F383" i="1"/>
  <c r="F359" i="1"/>
  <c r="F351" i="1"/>
  <c r="F343" i="1"/>
  <c r="F335" i="1"/>
  <c r="F311" i="1"/>
  <c r="F287" i="1"/>
  <c r="F279" i="1"/>
  <c r="F271" i="1"/>
  <c r="F255" i="1"/>
  <c r="F239" i="1"/>
  <c r="F602" i="1"/>
  <c r="F578" i="1"/>
  <c r="F434" i="1"/>
  <c r="F346" i="1"/>
  <c r="F282" i="1"/>
  <c r="F218" i="1"/>
  <c r="F76" i="1"/>
  <c r="F19" i="1"/>
  <c r="F119" i="1"/>
  <c r="F676" i="1"/>
  <c r="F596" i="1"/>
  <c r="F516" i="1"/>
  <c r="F428" i="1"/>
  <c r="F348" i="1"/>
  <c r="F276" i="1"/>
  <c r="F204" i="1"/>
  <c r="F150" i="1"/>
  <c r="F32" i="1"/>
  <c r="F50" i="1"/>
  <c r="F191" i="1"/>
  <c r="F693" i="1"/>
  <c r="F661" i="1"/>
  <c r="F645" i="1"/>
  <c r="F637" i="1"/>
  <c r="F629" i="1"/>
  <c r="F589" i="1"/>
  <c r="F573" i="1"/>
  <c r="F565" i="1"/>
  <c r="F557" i="1"/>
  <c r="F517" i="1"/>
  <c r="F501" i="1"/>
  <c r="F493" i="1"/>
  <c r="F485" i="1"/>
  <c r="F445" i="1"/>
  <c r="F437" i="1"/>
  <c r="F421" i="1"/>
  <c r="F413" i="1"/>
  <c r="F389" i="1"/>
  <c r="F381" i="1"/>
  <c r="F365" i="1"/>
  <c r="F357" i="1"/>
  <c r="F325" i="1"/>
  <c r="F309" i="1"/>
  <c r="F293" i="1"/>
  <c r="F285" i="1"/>
  <c r="F261" i="1"/>
  <c r="F237" i="1"/>
  <c r="F221" i="1"/>
  <c r="F213" i="1"/>
  <c r="F94" i="1"/>
  <c r="F5" i="1"/>
  <c r="F73" i="1"/>
  <c r="F135" i="1"/>
  <c r="F14" i="1"/>
  <c r="F166" i="1"/>
  <c r="F15" i="1"/>
  <c r="F167" i="1"/>
  <c r="P27" i="2"/>
  <c r="F636" i="1"/>
  <c r="F572" i="1"/>
  <c r="F508" i="1"/>
  <c r="F444" i="1"/>
  <c r="F380" i="1"/>
  <c r="F316" i="1"/>
  <c r="F252" i="1"/>
  <c r="F66" i="1"/>
  <c r="F157" i="1"/>
  <c r="F16" i="1"/>
  <c r="F114" i="1"/>
  <c r="F664" i="1"/>
  <c r="F600" i="1"/>
  <c r="F647" i="1"/>
  <c r="F583" i="1"/>
  <c r="F519" i="1"/>
  <c r="F455" i="1"/>
  <c r="F391" i="1"/>
  <c r="F327" i="1"/>
  <c r="F263" i="1"/>
  <c r="O25" i="2"/>
  <c r="F197" i="1"/>
  <c r="F35" i="1"/>
  <c r="F104" i="1"/>
  <c r="H15" i="2" s="1"/>
  <c r="F179" i="1"/>
  <c r="F39" i="1"/>
  <c r="F90" i="1"/>
  <c r="F160" i="1"/>
  <c r="Q192" i="1"/>
  <c r="F202" i="1"/>
  <c r="F110" i="1"/>
  <c r="F180" i="1"/>
  <c r="F36" i="1"/>
  <c r="F42" i="1"/>
  <c r="Q193" i="1"/>
  <c r="P24" i="2"/>
  <c r="O24" i="2"/>
  <c r="B93" i="4" a="1"/>
  <c r="C96" i="4" s="1"/>
  <c r="P25" i="2"/>
  <c r="P26" i="2"/>
  <c r="O26" i="2"/>
  <c r="H25" i="4" a="1"/>
  <c r="I26" i="4" s="1"/>
  <c r="B77" i="4" a="1"/>
  <c r="C78" i="4" s="1"/>
  <c r="L36" i="2"/>
  <c r="O27" i="2"/>
  <c r="L34" i="2"/>
  <c r="L33" i="2"/>
  <c r="H84" i="4" a="1"/>
  <c r="H84" i="4" s="1"/>
  <c r="I84" i="4" s="1"/>
  <c r="G20" i="2"/>
  <c r="H53" i="4" a="1"/>
  <c r="H53" i="4" s="1"/>
  <c r="I53" i="4" s="1"/>
  <c r="H6" i="4" a="1"/>
  <c r="H6" i="4" s="1"/>
  <c r="I6" i="4" s="1"/>
  <c r="G11" i="2"/>
  <c r="H11" i="2"/>
  <c r="B84" i="4" a="1"/>
  <c r="C87" i="4" s="1"/>
  <c r="B6" i="4" a="1"/>
  <c r="B6" i="4" s="1"/>
  <c r="C6" i="4" s="1"/>
  <c r="B32" i="4" a="1"/>
  <c r="C35" i="4" s="1"/>
  <c r="H32" i="4" a="1"/>
  <c r="H18" i="4" a="1"/>
  <c r="H77" i="4" a="1"/>
  <c r="I78" i="4" s="1"/>
  <c r="B68" i="4" a="1"/>
  <c r="C69" i="4" s="1"/>
  <c r="F32" i="2" a="1"/>
  <c r="F32" i="2" s="1"/>
  <c r="B53" i="4" a="1"/>
  <c r="C55" i="4" s="1"/>
  <c r="H68" i="4" a="1"/>
  <c r="G16" i="2"/>
  <c r="F20" i="2" a="1"/>
  <c r="F20" i="2" s="1"/>
  <c r="H22" i="2"/>
  <c r="F15" i="2" a="1"/>
  <c r="F15" i="2" s="1"/>
  <c r="G17" i="2"/>
  <c r="G19" i="2"/>
  <c r="F16" i="2" a="1"/>
  <c r="F16" i="2" s="1"/>
  <c r="H17" i="2"/>
  <c r="B25" i="4" a="1"/>
  <c r="B25" i="4" s="1"/>
  <c r="C25" i="4" s="1"/>
  <c r="H12" i="4" a="1"/>
  <c r="H12" i="4" s="1"/>
  <c r="I12" i="4" s="1"/>
  <c r="B18" i="4" a="1"/>
  <c r="B18" i="4" s="1"/>
  <c r="C18" i="4" s="1"/>
  <c r="B12" i="4" a="1"/>
  <c r="B12" i="4" s="1"/>
  <c r="C12" i="4" s="1"/>
  <c r="H93" i="4" a="1"/>
  <c r="H93" i="4" s="1"/>
  <c r="I93" i="4" s="1"/>
  <c r="Q194" i="1"/>
  <c r="L35" i="2"/>
  <c r="L28" i="2"/>
  <c r="C85" i="4"/>
  <c r="L25" i="2"/>
  <c r="C97" i="4"/>
  <c r="C98" i="4"/>
  <c r="N23" i="2"/>
  <c r="P28" i="2"/>
  <c r="C94" i="4"/>
  <c r="F29" i="2" a="1"/>
  <c r="F29" i="2" s="1"/>
  <c r="H33" i="2"/>
  <c r="H18" i="2"/>
  <c r="H13" i="2"/>
  <c r="G38" i="2"/>
  <c r="H29" i="2"/>
  <c r="G31" i="2"/>
  <c r="F31" i="2" a="1"/>
  <c r="F31" i="2" s="1"/>
  <c r="H35" i="2"/>
  <c r="G34" i="2"/>
  <c r="F27" i="2" a="1"/>
  <c r="F27" i="2" s="1"/>
  <c r="M19" i="2"/>
  <c r="F21" i="2" a="1"/>
  <c r="F21" i="2" s="1"/>
  <c r="F38" i="2" a="1"/>
  <c r="F38" i="2" s="1"/>
  <c r="G35" i="2"/>
  <c r="H36" i="2"/>
  <c r="G32" i="2"/>
  <c r="H32" i="2"/>
  <c r="H28" i="2"/>
  <c r="G36" i="2"/>
  <c r="G33" i="2"/>
  <c r="G30" i="2"/>
  <c r="H34" i="2"/>
  <c r="F22" i="2" a="1"/>
  <c r="F22" i="2" s="1"/>
  <c r="F19" i="2" a="1"/>
  <c r="F19" i="2" s="1"/>
  <c r="H12" i="2"/>
  <c r="H16" i="2"/>
  <c r="F18" i="2" a="1"/>
  <c r="F18" i="2" s="1"/>
  <c r="F14" i="2" a="1"/>
  <c r="F14" i="2" s="1"/>
  <c r="F36" i="2" a="1"/>
  <c r="F36" i="2" s="1"/>
  <c r="F33" i="2" a="1"/>
  <c r="F33" i="2" s="1"/>
  <c r="F30" i="2" a="1"/>
  <c r="F30" i="2" s="1"/>
  <c r="F35" i="2" a="1"/>
  <c r="F35" i="2" s="1"/>
  <c r="F37" i="2" a="1"/>
  <c r="F37" i="2" s="1"/>
  <c r="G21" i="2"/>
  <c r="G12" i="2"/>
  <c r="G14" i="2"/>
  <c r="F12" i="2" a="1"/>
  <c r="F12" i="2" s="1"/>
  <c r="M15" i="2"/>
  <c r="M9" i="2"/>
  <c r="F34" i="2" a="1"/>
  <c r="F34" i="2" s="1"/>
  <c r="H37" i="2"/>
  <c r="G27" i="2"/>
  <c r="G29" i="2"/>
  <c r="L27" i="2"/>
  <c r="K24" i="2"/>
  <c r="L24" i="2" s="1"/>
  <c r="F28" i="2" a="1"/>
  <c r="F28" i="2" s="1"/>
  <c r="H30" i="2"/>
  <c r="B93" i="4"/>
  <c r="C93" i="4" s="1"/>
  <c r="H38" i="2"/>
  <c r="G28" i="2"/>
  <c r="H27" i="2"/>
  <c r="H42" i="4" a="1"/>
  <c r="B61" i="4" a="1"/>
  <c r="B42" i="4" a="1"/>
  <c r="H61" i="4" a="1"/>
  <c r="H20" i="2" l="1"/>
  <c r="G22" i="2"/>
  <c r="I22" i="2" s="1"/>
  <c r="C86" i="4"/>
  <c r="H14" i="2"/>
  <c r="F11" i="2" a="1"/>
  <c r="F11" i="2" s="1"/>
  <c r="F17" i="2" a="1"/>
  <c r="F17" i="2" s="1"/>
  <c r="G18" i="2"/>
  <c r="I18" i="2" s="1"/>
  <c r="G15" i="2"/>
  <c r="I15" i="2" s="1"/>
  <c r="M10" i="2"/>
  <c r="G13" i="2"/>
  <c r="I13" i="2" s="1"/>
  <c r="H19" i="2"/>
  <c r="I19" i="2" s="1"/>
  <c r="H21" i="2"/>
  <c r="H8" i="2" s="1"/>
  <c r="H31" i="2"/>
  <c r="I31" i="2" s="1"/>
  <c r="F13" i="2" a="1"/>
  <c r="F13" i="2" s="1"/>
  <c r="M16" i="2"/>
  <c r="M12" i="2"/>
  <c r="M17" i="2"/>
  <c r="M13" i="2"/>
  <c r="M14" i="2"/>
  <c r="G37" i="2"/>
  <c r="I37" i="2" s="1"/>
  <c r="M18" i="2"/>
  <c r="M20" i="2"/>
  <c r="M11" i="2"/>
  <c r="B77" i="4"/>
  <c r="C77" i="4" s="1"/>
  <c r="C95" i="4"/>
  <c r="B32" i="4"/>
  <c r="C32" i="4" s="1"/>
  <c r="H25" i="4"/>
  <c r="I25" i="4" s="1"/>
  <c r="I87" i="4"/>
  <c r="I11" i="2"/>
  <c r="I14" i="2"/>
  <c r="I20" i="2"/>
  <c r="B84" i="4"/>
  <c r="C84" i="4" s="1"/>
  <c r="I54" i="4"/>
  <c r="I85" i="4"/>
  <c r="H77" i="4"/>
  <c r="I77" i="4" s="1"/>
  <c r="I17" i="2"/>
  <c r="C26" i="4"/>
  <c r="C54" i="4"/>
  <c r="I16" i="2"/>
  <c r="I86" i="4"/>
  <c r="I94" i="4"/>
  <c r="C71" i="4"/>
  <c r="B68" i="4"/>
  <c r="C68" i="4" s="1"/>
  <c r="C70" i="4"/>
  <c r="I19" i="4"/>
  <c r="H18" i="4"/>
  <c r="I18" i="4" s="1"/>
  <c r="B53" i="4"/>
  <c r="C53" i="4" s="1"/>
  <c r="H68" i="4"/>
  <c r="I68" i="4" s="1"/>
  <c r="I69" i="4"/>
  <c r="I34" i="4"/>
  <c r="I35" i="4"/>
  <c r="I33" i="4"/>
  <c r="H32" i="4"/>
  <c r="I32" i="4" s="1"/>
  <c r="C36" i="4"/>
  <c r="C34" i="4"/>
  <c r="C33" i="4"/>
  <c r="I28" i="2"/>
  <c r="I29" i="2"/>
  <c r="I33" i="2"/>
  <c r="I12" i="2"/>
  <c r="I32" i="2"/>
  <c r="I34" i="2"/>
  <c r="P23" i="2"/>
  <c r="O23" i="2"/>
  <c r="I35" i="2"/>
  <c r="F8" i="2"/>
  <c r="I36" i="2"/>
  <c r="G25" i="2"/>
  <c r="C62" i="4"/>
  <c r="B61" i="4"/>
  <c r="C61" i="4" s="1"/>
  <c r="C45" i="4"/>
  <c r="C44" i="4"/>
  <c r="C43" i="4"/>
  <c r="B42" i="4"/>
  <c r="C42" i="4" s="1"/>
  <c r="H42" i="4"/>
  <c r="I42" i="4" s="1"/>
  <c r="I44" i="4"/>
  <c r="I43" i="4"/>
  <c r="I45" i="4"/>
  <c r="I47" i="4"/>
  <c r="I46" i="4"/>
  <c r="I30" i="2"/>
  <c r="I27" i="2"/>
  <c r="I38" i="2"/>
  <c r="H61" i="4"/>
  <c r="I61" i="4" s="1"/>
  <c r="I62" i="4"/>
  <c r="G8" i="2" l="1"/>
  <c r="I21" i="2"/>
  <c r="I24" i="2"/>
  <c r="I8" i="2"/>
  <c r="I2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<sst xmlns="http://schemas.openxmlformats.org/spreadsheetml/2006/main" count="1512" uniqueCount="348">
  <si>
    <t>순번</t>
    <phoneticPr fontId="2" type="noConversion"/>
  </si>
  <si>
    <t>날짜</t>
    <phoneticPr fontId="2" type="noConversion"/>
  </si>
  <si>
    <t>종류</t>
    <phoneticPr fontId="2" type="noConversion"/>
  </si>
  <si>
    <t>규격</t>
    <phoneticPr fontId="2" type="noConversion"/>
  </si>
  <si>
    <t>수량</t>
    <phoneticPr fontId="2" type="noConversion"/>
  </si>
  <si>
    <t>배송일자</t>
    <phoneticPr fontId="2" type="noConversion"/>
  </si>
  <si>
    <t>배송확인</t>
    <phoneticPr fontId="2" type="noConversion"/>
  </si>
  <si>
    <t>휠반납 확인</t>
    <phoneticPr fontId="2" type="noConversion"/>
  </si>
  <si>
    <t>Closing</t>
    <phoneticPr fontId="2" type="noConversion"/>
  </si>
  <si>
    <t>타이어</t>
  </si>
  <si>
    <t>타이어</t>
    <phoneticPr fontId="2" type="noConversion"/>
  </si>
  <si>
    <t>Maker</t>
    <phoneticPr fontId="2" type="noConversion"/>
  </si>
  <si>
    <t>MAXAM</t>
    <phoneticPr fontId="2" type="noConversion"/>
  </si>
  <si>
    <t>500-8</t>
    <phoneticPr fontId="2" type="noConversion"/>
  </si>
  <si>
    <t>고객명</t>
    <phoneticPr fontId="2" type="noConversion"/>
  </si>
  <si>
    <t>판매단가</t>
    <phoneticPr fontId="2" type="noConversion"/>
  </si>
  <si>
    <t>매입단가</t>
    <phoneticPr fontId="2" type="noConversion"/>
  </si>
  <si>
    <t>총매출</t>
    <phoneticPr fontId="2" type="noConversion"/>
  </si>
  <si>
    <t>O</t>
  </si>
  <si>
    <t>O</t>
    <phoneticPr fontId="2" type="noConversion"/>
  </si>
  <si>
    <t>총매입</t>
    <phoneticPr fontId="2" type="noConversion"/>
  </si>
  <si>
    <t>Margin</t>
    <phoneticPr fontId="2" type="noConversion"/>
  </si>
  <si>
    <t>650-10</t>
    <phoneticPr fontId="2" type="noConversion"/>
  </si>
  <si>
    <t>700-12</t>
    <phoneticPr fontId="2" type="noConversion"/>
  </si>
  <si>
    <t>택배비</t>
    <phoneticPr fontId="2" type="noConversion"/>
  </si>
  <si>
    <t>16*7-10 1/2</t>
  </si>
  <si>
    <t>18*5-12 1/8</t>
  </si>
  <si>
    <t>18*6-12 1/8</t>
  </si>
  <si>
    <t>렌탈</t>
  </si>
  <si>
    <t>기타</t>
    <phoneticPr fontId="2" type="noConversion"/>
  </si>
  <si>
    <t>현대</t>
    <phoneticPr fontId="2" type="noConversion"/>
  </si>
  <si>
    <t>3톤</t>
    <phoneticPr fontId="2" type="noConversion"/>
  </si>
  <si>
    <t>5톤</t>
    <phoneticPr fontId="2" type="noConversion"/>
  </si>
  <si>
    <t>대명특장</t>
    <phoneticPr fontId="2" type="noConversion"/>
  </si>
  <si>
    <t>공임</t>
    <phoneticPr fontId="2" type="noConversion"/>
  </si>
  <si>
    <t>금호타이어</t>
    <phoneticPr fontId="2" type="noConversion"/>
  </si>
  <si>
    <t>금호KRA88</t>
    <phoneticPr fontId="2" type="noConversion"/>
  </si>
  <si>
    <t>12R22.5</t>
    <phoneticPr fontId="2" type="noConversion"/>
  </si>
  <si>
    <t>금호KRD55</t>
    <phoneticPr fontId="2" type="noConversion"/>
  </si>
  <si>
    <t>동성종합지게차</t>
    <phoneticPr fontId="2" type="noConversion"/>
  </si>
  <si>
    <t>LFP(지게차)</t>
  </si>
  <si>
    <t>Spiderway</t>
    <phoneticPr fontId="2" type="noConversion"/>
  </si>
  <si>
    <t>51.2V150Ah</t>
    <phoneticPr fontId="2" type="noConversion"/>
  </si>
  <si>
    <t>충전기</t>
    <phoneticPr fontId="2" type="noConversion"/>
  </si>
  <si>
    <t>25Ah</t>
    <phoneticPr fontId="2" type="noConversion"/>
  </si>
  <si>
    <t>23*9-10</t>
    <phoneticPr fontId="2" type="noConversion"/>
  </si>
  <si>
    <t>렌탈</t>
    <phoneticPr fontId="2" type="noConversion"/>
  </si>
  <si>
    <t>4.5톤</t>
    <phoneticPr fontId="2" type="noConversion"/>
  </si>
  <si>
    <t>18*7-8</t>
    <phoneticPr fontId="2" type="noConversion"/>
  </si>
  <si>
    <t>백호중기</t>
    <phoneticPr fontId="2" type="noConversion"/>
  </si>
  <si>
    <t>825-15</t>
    <phoneticPr fontId="2" type="noConversion"/>
  </si>
  <si>
    <t>21*8-9</t>
    <phoneticPr fontId="2" type="noConversion"/>
  </si>
  <si>
    <t>2.5톤</t>
    <phoneticPr fontId="2" type="noConversion"/>
  </si>
  <si>
    <t>BYD</t>
    <phoneticPr fontId="2" type="noConversion"/>
  </si>
  <si>
    <t>휠</t>
    <phoneticPr fontId="2" type="noConversion"/>
  </si>
  <si>
    <t>250-15</t>
    <phoneticPr fontId="2" type="noConversion"/>
  </si>
  <si>
    <t>월</t>
    <phoneticPr fontId="2" type="noConversion"/>
  </si>
  <si>
    <t>년</t>
    <phoneticPr fontId="2" type="noConversion"/>
  </si>
  <si>
    <t>입금</t>
    <phoneticPr fontId="2" type="noConversion"/>
  </si>
  <si>
    <t>사업자번호</t>
    <phoneticPr fontId="2" type="noConversion"/>
  </si>
  <si>
    <t>흥아</t>
    <phoneticPr fontId="2" type="noConversion"/>
  </si>
  <si>
    <t>더블코인</t>
    <phoneticPr fontId="2" type="noConversion"/>
  </si>
  <si>
    <t>750-16</t>
    <phoneticPr fontId="2" type="noConversion"/>
  </si>
  <si>
    <t>올프로</t>
    <phoneticPr fontId="2" type="noConversion"/>
  </si>
  <si>
    <t>계산서</t>
    <phoneticPr fontId="2" type="noConversion"/>
  </si>
  <si>
    <t>16*6-8</t>
    <phoneticPr fontId="2" type="noConversion"/>
  </si>
  <si>
    <t>컨티넨탈</t>
    <phoneticPr fontId="2" type="noConversion"/>
  </si>
  <si>
    <t>815-15</t>
    <phoneticPr fontId="2" type="noConversion"/>
  </si>
  <si>
    <t>매출</t>
    <phoneticPr fontId="2" type="noConversion"/>
  </si>
  <si>
    <t>매출원가</t>
    <phoneticPr fontId="2" type="noConversion"/>
  </si>
  <si>
    <t>수익 (E)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</si>
  <si>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</si>
  <si>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</si>
  <si>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</si>
  <si>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</si>
  <si>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</si>
  <si>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</si>
  <si>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</si>
  <si>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</si>
  <si>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매출처 (수)</t>
    <phoneticPr fontId="2" type="noConversion"/>
  </si>
  <si>
    <t>2025년</t>
    <phoneticPr fontId="2" type="noConversion"/>
  </si>
  <si>
    <t>년월</t>
    <phoneticPr fontId="2" type="noConversion"/>
  </si>
  <si>
    <t>상주대형중기화물</t>
    <phoneticPr fontId="2" type="noConversion"/>
  </si>
  <si>
    <t>KENEX</t>
    <phoneticPr fontId="2" type="noConversion"/>
  </si>
  <si>
    <t>튜브</t>
    <phoneticPr fontId="2" type="noConversion"/>
  </si>
  <si>
    <t>600-15</t>
    <phoneticPr fontId="2" type="noConversion"/>
  </si>
  <si>
    <t>백색타이어</t>
    <phoneticPr fontId="2" type="noConversion"/>
  </si>
  <si>
    <t>900-20</t>
    <phoneticPr fontId="2" type="noConversion"/>
  </si>
  <si>
    <t>(주)디피엘</t>
    <phoneticPr fontId="2" type="noConversion"/>
  </si>
  <si>
    <t>어드밴스</t>
    <phoneticPr fontId="2" type="noConversion"/>
  </si>
  <si>
    <t>솔리드프로</t>
    <phoneticPr fontId="2" type="noConversion"/>
  </si>
  <si>
    <t>월드스톤</t>
    <phoneticPr fontId="2" type="noConversion"/>
  </si>
  <si>
    <t>선호지게차</t>
    <phoneticPr fontId="2" type="noConversion"/>
  </si>
  <si>
    <t>48V230</t>
    <phoneticPr fontId="2" type="noConversion"/>
  </si>
  <si>
    <t>50Ah</t>
    <phoneticPr fontId="2" type="noConversion"/>
  </si>
  <si>
    <t>48V304</t>
    <phoneticPr fontId="2" type="noConversion"/>
  </si>
  <si>
    <t>100Ah</t>
    <phoneticPr fontId="2" type="noConversion"/>
  </si>
  <si>
    <t>웨이트</t>
    <phoneticPr fontId="2" type="noConversion"/>
  </si>
  <si>
    <t>400kg</t>
    <phoneticPr fontId="2" type="noConversion"/>
  </si>
  <si>
    <t>노쥬브</t>
    <phoneticPr fontId="2" type="noConversion"/>
  </si>
  <si>
    <t>750-15</t>
  </si>
  <si>
    <t>750-15</t>
    <phoneticPr fontId="2" type="noConversion"/>
  </si>
  <si>
    <t>크라운</t>
    <phoneticPr fontId="2" type="noConversion"/>
  </si>
  <si>
    <t>6인치</t>
    <phoneticPr fontId="2" type="noConversion"/>
  </si>
  <si>
    <t>배송비</t>
    <phoneticPr fontId="2" type="noConversion"/>
  </si>
  <si>
    <t>KATOCHI</t>
  </si>
  <si>
    <t>23*10-12</t>
    <phoneticPr fontId="2" type="noConversion"/>
  </si>
  <si>
    <t>2025년2월</t>
    <phoneticPr fontId="2" type="noConversion"/>
  </si>
  <si>
    <t>2025년3월</t>
  </si>
  <si>
    <t>2025년4월</t>
  </si>
  <si>
    <t>2025년5월</t>
  </si>
  <si>
    <t>2025년6월</t>
  </si>
  <si>
    <t>2025년7월</t>
  </si>
  <si>
    <t>2025년8월</t>
  </si>
  <si>
    <t>2025년9월</t>
  </si>
  <si>
    <t>2025년10월</t>
  </si>
  <si>
    <t>2025년11월</t>
  </si>
  <si>
    <t>2025년12월</t>
  </si>
  <si>
    <t># 고객별 매출추이</t>
    <phoneticPr fontId="2" type="noConversion"/>
  </si>
  <si>
    <t># Top 5 (전체)</t>
    <phoneticPr fontId="2" type="noConversion"/>
  </si>
  <si>
    <t># Top 5 (타이어)</t>
    <phoneticPr fontId="2" type="noConversion"/>
  </si>
  <si>
    <t># 매출비중</t>
    <phoneticPr fontId="2" type="noConversion"/>
  </si>
  <si>
    <t># 월별 매출액</t>
    <phoneticPr fontId="2" type="noConversion"/>
  </si>
  <si>
    <t>[RNF Dash Board]</t>
    <phoneticPr fontId="2" type="noConversion"/>
  </si>
  <si>
    <t>기타</t>
  </si>
  <si>
    <t>로드휠</t>
    <phoneticPr fontId="2" type="noConversion"/>
  </si>
  <si>
    <t>클라크</t>
    <phoneticPr fontId="2" type="noConversion"/>
  </si>
  <si>
    <t>3월</t>
    <phoneticPr fontId="2" type="noConversion"/>
  </si>
  <si>
    <t>4월</t>
    <phoneticPr fontId="2" type="noConversion"/>
  </si>
  <si>
    <t>1.5톤</t>
    <phoneticPr fontId="2" type="noConversion"/>
  </si>
  <si>
    <t>4톤</t>
    <phoneticPr fontId="2" type="noConversion"/>
  </si>
  <si>
    <t>두산</t>
    <phoneticPr fontId="2" type="noConversion"/>
  </si>
  <si>
    <t>백호중기</t>
  </si>
  <si>
    <t>LFP(고소작업대)</t>
  </si>
  <si>
    <t>거래처등록번호</t>
  </si>
  <si>
    <t>종사업장번호</t>
  </si>
  <si>
    <t>대표자</t>
  </si>
  <si>
    <t>사업장주소</t>
  </si>
  <si>
    <t>업태</t>
  </si>
  <si>
    <t>종목</t>
  </si>
  <si>
    <t>(주)디피엘</t>
  </si>
  <si>
    <t>126-81-12016</t>
  </si>
  <si>
    <t>최인석</t>
  </si>
  <si>
    <t>경기도 이천시 마장면 덕평로 831-35</t>
  </si>
  <si>
    <t>서비스(운수관련)업</t>
  </si>
  <si>
    <t>화물취급장비</t>
  </si>
  <si>
    <t>기린지게차</t>
  </si>
  <si>
    <t>172-74-00096</t>
  </si>
  <si>
    <t>강용식</t>
  </si>
  <si>
    <t>대구광역시 서구 새방로 95</t>
  </si>
  <si>
    <t>도</t>
  </si>
  <si>
    <t>기계 및 기계부품</t>
  </si>
  <si>
    <t>남영물류산업(주)</t>
  </si>
  <si>
    <t>204-81-71256</t>
  </si>
  <si>
    <t>남후식,남희대</t>
  </si>
  <si>
    <t>경기도 광주시 곤지암읍 광여로 515</t>
  </si>
  <si>
    <t>건설업</t>
  </si>
  <si>
    <t>강구조물 철물,메자닌공</t>
  </si>
  <si>
    <t>농업회사법인 주식회사 이엔푸드</t>
  </si>
  <si>
    <t>403-81-72982</t>
  </si>
  <si>
    <t>문형선</t>
  </si>
  <si>
    <t>전라북도 김제시 백산면 지평선산단5길 284</t>
  </si>
  <si>
    <t>제조업</t>
  </si>
  <si>
    <t>축산물가공식품</t>
  </si>
  <si>
    <t>대명특장</t>
  </si>
  <si>
    <t>476-46-00898</t>
  </si>
  <si>
    <t>백미림</t>
  </si>
  <si>
    <t>경상남도 창원시 진해구 남영로511번길 48(남양동)</t>
  </si>
  <si>
    <t>특장차</t>
  </si>
  <si>
    <t>대양토탈라인 주식회사</t>
  </si>
  <si>
    <t>502-81-47188</t>
  </si>
  <si>
    <t>곽충구</t>
  </si>
  <si>
    <t>경상북도 구미시 1공단로4길 38-19</t>
  </si>
  <si>
    <t>운수</t>
  </si>
  <si>
    <t>특수화물자동차</t>
  </si>
  <si>
    <t>도화중기주식회사</t>
  </si>
  <si>
    <t>301-86-32786</t>
  </si>
  <si>
    <t>박정규</t>
  </si>
  <si>
    <t>충청북도 진천군 문백면 농다리로 34-18</t>
  </si>
  <si>
    <t>도소매</t>
  </si>
  <si>
    <t>건설기계장비부품</t>
  </si>
  <si>
    <t>동성종합지게차</t>
  </si>
  <si>
    <t>622-09-69331</t>
  </si>
  <si>
    <t>김일홍</t>
  </si>
  <si>
    <t>경상남도 김해시 진영읍 죽곡리 228-1</t>
  </si>
  <si>
    <t>도매업</t>
  </si>
  <si>
    <t>기타운수및기계장비</t>
  </si>
  <si>
    <t>두산지게차순천판매주식회사</t>
  </si>
  <si>
    <t>416-81-34873</t>
  </si>
  <si>
    <t>김정이</t>
  </si>
  <si>
    <t>전라남도 순천시 해룡면 용전길 2</t>
  </si>
  <si>
    <t>서비스</t>
  </si>
  <si>
    <t>중장비위탁판매</t>
  </si>
  <si>
    <t>렌탈로114</t>
  </si>
  <si>
    <t>670-03-02604</t>
  </si>
  <si>
    <t>류종수</t>
  </si>
  <si>
    <t>대구광역시 동구 반야월북로55길 18-3(신서동, 국화빌라) 101호</t>
  </si>
  <si>
    <t>사업시설 관리, 사업지원 및 임대 서비스업</t>
  </si>
  <si>
    <t>기타 산업용 기계 및 장비 임대업</t>
  </si>
  <si>
    <t>134-12-98663</t>
  </si>
  <si>
    <t>이대홍</t>
  </si>
  <si>
    <t>경기도 김포시 하성면 월하로 589번길 33</t>
  </si>
  <si>
    <t>기타 일반 기계 및 장비 수리업</t>
  </si>
  <si>
    <t>상주대형중기화물</t>
  </si>
  <si>
    <t>508-03-62404</t>
  </si>
  <si>
    <t>강미화</t>
  </si>
  <si>
    <t>경상북도 상주시 식산로96 (서곡동)</t>
  </si>
  <si>
    <t>운보</t>
  </si>
  <si>
    <t>화물</t>
  </si>
  <si>
    <t>508-09-68680</t>
  </si>
  <si>
    <t>고재윤</t>
  </si>
  <si>
    <t>경상북도 상주시 식산로 96(서곡동)</t>
  </si>
  <si>
    <t>건설</t>
  </si>
  <si>
    <t>건설기계대여</t>
  </si>
  <si>
    <t>선호지게차</t>
  </si>
  <si>
    <t>274-23-02044</t>
  </si>
  <si>
    <t>이명선</t>
  </si>
  <si>
    <t>경기도 이천시 장호원읍 대서리 662-3</t>
  </si>
  <si>
    <t>상품 종합 도매업</t>
  </si>
  <si>
    <t>에코테크(주)</t>
  </si>
  <si>
    <t>621-86-08026</t>
  </si>
  <si>
    <t>최정근</t>
  </si>
  <si>
    <t>부산광역시 기장군 정관읍 정관로 595, 409호</t>
  </si>
  <si>
    <t>화공약품</t>
  </si>
  <si>
    <t>에코파밍 주식회사</t>
  </si>
  <si>
    <t>318-81-11047</t>
  </si>
  <si>
    <t>최정근, 하연조</t>
  </si>
  <si>
    <t>부산광역시 기장군 정관읍 정관로 595, 502호</t>
  </si>
  <si>
    <t>도매 및 소매업</t>
  </si>
  <si>
    <t>비료 및 농약 도매업</t>
  </si>
  <si>
    <t>주식회사 비엠삼우</t>
  </si>
  <si>
    <t>141-81-05834</t>
  </si>
  <si>
    <t>박길수</t>
  </si>
  <si>
    <t>경기도 용인시 처인구 원삼면 원양로 871, 2층 203호</t>
  </si>
  <si>
    <t>기계장치</t>
  </si>
  <si>
    <t>주식회사 에스제이</t>
  </si>
  <si>
    <t>235-86-01235</t>
  </si>
  <si>
    <t>김종대</t>
  </si>
  <si>
    <t>울산광역시 울주군 두서면 활천산업1길 22</t>
  </si>
  <si>
    <t>운수및창고업</t>
  </si>
  <si>
    <t>위험물품보관업</t>
  </si>
  <si>
    <t>주식회사 지게차나라</t>
  </si>
  <si>
    <t>142-81-55069</t>
  </si>
  <si>
    <t>최영호</t>
  </si>
  <si>
    <t>경기도 용인시 처인구 양지면 남평로 192</t>
  </si>
  <si>
    <t>지게차</t>
  </si>
  <si>
    <t>주식회사 코지스산업</t>
  </si>
  <si>
    <t>142-81-20556</t>
  </si>
  <si>
    <t>이성준</t>
  </si>
  <si>
    <t>경기도 용인시 기흥구 흥덕1로 13 A동 2003호 (영덕동)</t>
  </si>
  <si>
    <t>전동지게차</t>
  </si>
  <si>
    <t>주식회사 크린어스</t>
  </si>
  <si>
    <t>138-81-32669</t>
  </si>
  <si>
    <t>윤우용, 유영환</t>
  </si>
  <si>
    <t>경기도 용인시 기흥구 흥덕중앙로 120, 2606호 (영덕동, 유타워)</t>
  </si>
  <si>
    <t>자동조정및제어장치</t>
  </si>
  <si>
    <t>주식회사 현대지게차</t>
  </si>
  <si>
    <t>125-81-82538</t>
  </si>
  <si>
    <t>최영락</t>
  </si>
  <si>
    <t>경기도 안성시 원곡면 칠곡리 512-10</t>
  </si>
  <si>
    <t>건설기계도급및대여</t>
  </si>
  <si>
    <t>천리지게차</t>
  </si>
  <si>
    <t>530-43-00298</t>
  </si>
  <si>
    <t>박노석</t>
  </si>
  <si>
    <t>대구광역시 달성군 현풍면 국가산단북로 340</t>
  </si>
  <si>
    <t>물류장비,부품</t>
  </si>
  <si>
    <t>캄텍주식회사</t>
  </si>
  <si>
    <t>301-81-50703</t>
  </si>
  <si>
    <t>김성근</t>
  </si>
  <si>
    <t>충청북도 진천군 이월면 고등2길 15</t>
  </si>
  <si>
    <t>제조</t>
  </si>
  <si>
    <t>자동차부품</t>
  </si>
  <si>
    <t>코오롱글로벌(주)상사부문</t>
  </si>
  <si>
    <t>119-85-35038</t>
  </si>
  <si>
    <t>김정일</t>
  </si>
  <si>
    <t>경기도 과천시 코오롱로11(별양동)</t>
  </si>
  <si>
    <t>도매및소매업</t>
  </si>
  <si>
    <t>상품종합도소매</t>
  </si>
  <si>
    <t>티엘에스코리아 주식회사</t>
  </si>
  <si>
    <t>897-86-02385</t>
  </si>
  <si>
    <t>김하람</t>
  </si>
  <si>
    <t>충청북도 음성군 삼성면 덕정로 144번길113-74</t>
  </si>
  <si>
    <t>도뫠 및 소매업</t>
  </si>
  <si>
    <t>산업용기계</t>
  </si>
  <si>
    <t>혁신상사 주식회사</t>
  </si>
  <si>
    <t>312-86-18125</t>
  </si>
  <si>
    <t>권혁봉</t>
  </si>
  <si>
    <t>충청남도 천안시 서북구 성환읍 왕림길 198-25</t>
  </si>
  <si>
    <t>지게차부품</t>
  </si>
  <si>
    <t>현대지게차경기북부판매(주)</t>
  </si>
  <si>
    <t>428-86-01083</t>
  </si>
  <si>
    <t>김형일</t>
  </si>
  <si>
    <t>경기도 포천시 내촌면 내진로 131</t>
  </si>
  <si>
    <t>중기 및 부품</t>
  </si>
  <si>
    <t>농업회사법인 주식회사 이엔푸드</t>
    <phoneticPr fontId="2" type="noConversion"/>
  </si>
  <si>
    <t>주식회사 비엠삼우</t>
    <phoneticPr fontId="2" type="noConversion"/>
  </si>
  <si>
    <t>주식회사 현대지게차</t>
    <phoneticPr fontId="2" type="noConversion"/>
  </si>
  <si>
    <t>주식회사 크린어스</t>
    <phoneticPr fontId="2" type="noConversion"/>
  </si>
  <si>
    <t>혁신상사 주식회사</t>
    <phoneticPr fontId="2" type="noConversion"/>
  </si>
  <si>
    <t>비고</t>
    <phoneticPr fontId="2" type="noConversion"/>
  </si>
  <si>
    <t>매출월 :</t>
    <phoneticPr fontId="2" type="noConversion"/>
  </si>
  <si>
    <t>입금(Y/N)</t>
    <phoneticPr fontId="2" type="noConversion"/>
  </si>
  <si>
    <t>입금일자</t>
    <phoneticPr fontId="2" type="noConversion"/>
  </si>
  <si>
    <t>Y</t>
  </si>
  <si>
    <t>Y</t>
    <phoneticPr fontId="2" type="noConversion"/>
  </si>
  <si>
    <t>입금은행</t>
    <phoneticPr fontId="2" type="noConversion"/>
  </si>
  <si>
    <t>KB</t>
  </si>
  <si>
    <t>KB</t>
    <phoneticPr fontId="2" type="noConversion"/>
  </si>
  <si>
    <t>N</t>
  </si>
  <si>
    <t>매출처 (타이어)</t>
    <phoneticPr fontId="2" type="noConversion"/>
  </si>
  <si>
    <t>매출처 (타이어 제외)</t>
    <phoneticPr fontId="2" type="noConversion"/>
  </si>
  <si>
    <t>N</t>
    <phoneticPr fontId="2" type="noConversion"/>
  </si>
  <si>
    <t>[전체 매출]</t>
    <phoneticPr fontId="2" type="noConversion"/>
  </si>
  <si>
    <t>[타이어 매출]</t>
    <phoneticPr fontId="2" type="noConversion"/>
  </si>
  <si>
    <t>매출액(VAT포함)</t>
  </si>
  <si>
    <t>1월</t>
    <phoneticPr fontId="2" type="noConversion"/>
  </si>
  <si>
    <t>2월</t>
    <phoneticPr fontId="2" type="noConversion"/>
  </si>
  <si>
    <t>기준 월</t>
    <phoneticPr fontId="2" type="noConversion"/>
  </si>
  <si>
    <t>총 매출</t>
    <phoneticPr fontId="2" type="noConversion"/>
  </si>
  <si>
    <t>타이어 매출</t>
    <phoneticPr fontId="2" type="noConversion"/>
  </si>
  <si>
    <t>상위매출처</t>
    <phoneticPr fontId="2" type="noConversion"/>
  </si>
  <si>
    <t>IBK</t>
  </si>
  <si>
    <t>600-9</t>
    <phoneticPr fontId="2" type="noConversion"/>
  </si>
  <si>
    <t>현대지게차경기북부판매(주)</t>
    <phoneticPr fontId="2" type="noConversion"/>
  </si>
  <si>
    <t>우레탄(고무)</t>
    <phoneticPr fontId="2" type="noConversion"/>
  </si>
  <si>
    <t>캐스터휠</t>
    <phoneticPr fontId="2" type="noConversion"/>
  </si>
  <si>
    <t>드라이브휠</t>
    <phoneticPr fontId="2" type="noConversion"/>
  </si>
  <si>
    <t>티엘에스코리아 주식회사</t>
    <phoneticPr fontId="2" type="noConversion"/>
  </si>
  <si>
    <t>16*7-10 1/2</t>
    <phoneticPr fontId="2" type="noConversion"/>
  </si>
  <si>
    <t>2026년</t>
    <phoneticPr fontId="2" type="noConversion"/>
  </si>
  <si>
    <t>2026년1월</t>
    <phoneticPr fontId="2" type="noConversion"/>
  </si>
  <si>
    <t>도화중기주식회사</t>
    <phoneticPr fontId="2" type="noConversion"/>
  </si>
  <si>
    <t>(주)에이치씨물류</t>
    <phoneticPr fontId="2" type="noConversion"/>
  </si>
  <si>
    <t>503-81-85128</t>
    <phoneticPr fontId="2" type="noConversion"/>
  </si>
  <si>
    <t>서동묵</t>
    <phoneticPr fontId="2" type="noConversion"/>
  </si>
  <si>
    <t>대구광역시 북구 노원로 139-6, 5층(노원동3가)</t>
    <phoneticPr fontId="2" type="noConversion"/>
  </si>
  <si>
    <t>운수업</t>
    <phoneticPr fontId="2" type="noConversion"/>
  </si>
  <si>
    <t>금호KRS50</t>
    <phoneticPr fontId="2" type="noConversion"/>
  </si>
  <si>
    <t>385/65R22.5</t>
    <phoneticPr fontId="2" type="noConversion"/>
  </si>
  <si>
    <t>최근 1년</t>
    <phoneticPr fontId="2" type="noConversion"/>
  </si>
  <si>
    <t>두산지게차순천판매주식회사</t>
    <phoneticPr fontId="2" type="noConversion"/>
  </si>
  <si>
    <t>주식회사 에스제이</t>
    <phoneticPr fontId="2" type="noConversion"/>
  </si>
  <si>
    <t>최근 1년 현황</t>
    <phoneticPr fontId="2" type="noConversion"/>
  </si>
  <si>
    <t>수익</t>
    <phoneticPr fontId="2" type="noConversion"/>
  </si>
  <si>
    <t>거래처</t>
    <phoneticPr fontId="2" type="noConversion"/>
  </si>
  <si>
    <t>매출처(수)</t>
    <phoneticPr fontId="2" type="noConversion"/>
  </si>
  <si>
    <t>에코파밍 주식회사</t>
    <phoneticPr fontId="2" type="noConversion"/>
  </si>
  <si>
    <t>1200-20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</si>
</sst>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_);[Red]\(&quot;₩&quot;#,##0\)"/>
    <numFmt numFmtId="41" formatCode="_(* #,##0_);_(* \(#,##0\);_(* &quot;-&quot;_);_(@_)"/>
    <numFmt numFmtId="43" formatCode="_(* #,##0.00_);_(* \(#,##0.00\);_(* &quot;-&quot;??_);_(@_)"/>
    <numFmt numFmtId="176" formatCode="yyyy\-mm\-dd;@"/>
    <numFmt numFmtId="177" formatCode="##&quot;월&quot;"/>
    <numFmt numFmtId="178" formatCode="_(* #,##0.0_);_(* \(#,##0.0\);_(* &quot;-&quot;_);_(@_)"/>
  </numFmts>
  <fonts count="1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28"/>
      <color theme="1"/>
      <name val="맑은 고딕"/>
      <family val="2"/>
      <charset val="129"/>
      <scheme val="minor"/>
    </font>
    <font>
      <b/>
      <sz val="12"/>
      <color rgb="FF1D1D1D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1D1D1D"/>
      <name val="맑은 고딕"/>
      <family val="2"/>
      <charset val="129"/>
      <scheme val="minor"/>
    </font>
    <font>
      <sz val="12"/>
      <color rgb="FF1111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41" fontId="0" fillId="0" borderId="0" xfId="1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3" fillId="0" borderId="0" xfId="0" applyFont="1">
      <alignment vertical="center"/>
    </xf>
    <xf numFmtId="41" fontId="0" fillId="0" borderId="12" xfId="1" applyFont="1" applyBorder="1" applyAlignment="1">
      <alignment horizontal="center" vertical="center"/>
    </xf>
    <xf numFmtId="43" fontId="0" fillId="0" borderId="12" xfId="0" applyNumberFormat="1" applyBorder="1" applyAlignment="1">
      <alignment horizontal="center" vertical="center"/>
    </xf>
    <xf numFmtId="6" fontId="0" fillId="0" borderId="12" xfId="1" applyNumberFormat="1" applyFon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6" fontId="0" fillId="0" borderId="12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7964632545931758"/>
          <c:y val="2.5428331875182269E-2"/>
          <c:w val="0.8067384076990376"/>
          <c:h val="0.86946741032370933"/>
        </c:manualLayout>
      </c:layout>
      <c:lineChart>
        <c:grouping val="standard"/>
        <c:varyColors val="0"/>
        <c:ser>
          <c:idx val="0"/>
          <c:order val="0"/>
          <c:tx>
            <c:strRef>
              <c:f>Dashboard!$M$8</c:f>
              <c:strCache>
                <c:ptCount val="1"/>
                <c:pt idx="0">
                  <c:v>매출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Dashboard!$L$9:$L$20</c:f>
              <c:strCache>
                <c:ptCount val="12"/>
                <c:pt idx="0">
                  <c:v>2025년2월</c:v>
                </c:pt>
                <c:pt idx="1">
                  <c:v>2025년3월</c:v>
                </c:pt>
                <c:pt idx="2">
                  <c:v>2025년4월</c:v>
                </c:pt>
                <c:pt idx="3">
                  <c:v>2025년5월</c:v>
                </c:pt>
                <c:pt idx="4">
                  <c:v>2025년6월</c:v>
                </c:pt>
                <c:pt idx="5">
                  <c:v>2025년7월</c:v>
                </c:pt>
                <c:pt idx="6">
                  <c:v>2025년8월</c:v>
                </c:pt>
                <c:pt idx="7">
                  <c:v>2025년9월</c:v>
                </c:pt>
                <c:pt idx="8">
                  <c:v>2025년10월</c:v>
                </c:pt>
                <c:pt idx="9">
                  <c:v>2025년11월</c:v>
                </c:pt>
                <c:pt idx="10">
                  <c:v>2025년12월</c:v>
                </c:pt>
                <c:pt idx="11">
                  <c:v>2026년1월</c:v>
                </c:pt>
              </c:strCache>
            </c:strRef>
          </c:cat>
          <c:val>
            <c:numRef>
              <c:f>Dashboard!$M$9:$M$20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5610000</c:v>
                </c:pt>
                <c:pt idx="4">
                  <c:v>3388000</c:v>
                </c:pt>
                <c:pt idx="5">
                  <c:v>4584800.0000000009</c:v>
                </c:pt>
                <c:pt idx="6">
                  <c:v>3179000.0000000005</c:v>
                </c:pt>
                <c:pt idx="7">
                  <c:v>1606000.0000000002</c:v>
                </c:pt>
                <c:pt idx="8">
                  <c:v>616000</c:v>
                </c:pt>
                <c:pt idx="9">
                  <c:v>5139200</c:v>
                </c:pt>
                <c:pt idx="10">
                  <c:v>3179000.0000000005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1-7B40-9049-12E1E66D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049088"/>
        <c:axId val="1877279168"/>
      </c:lineChart>
      <c:catAx>
        <c:axId val="184904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7279168"/>
        <c:crosses val="autoZero"/>
        <c:auto val="1"/>
        <c:lblAlgn val="ctr"/>
        <c:lblOffset val="100"/>
        <c:noMultiLvlLbl val="0"/>
      </c:catAx>
      <c:valAx>
        <c:axId val="1877279168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904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67526472983981"/>
          <c:y val="0.1313573127302749"/>
          <c:w val="0.6150866141732283"/>
          <c:h val="0.83744186906214191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03-3B46-ACAA-56698F8277E3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03-3B46-ACAA-56698F8277E3}"/>
              </c:ext>
            </c:extLst>
          </c:dPt>
          <c:dPt>
            <c:idx val="2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03-3B46-ACAA-56698F8277E3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03-3B46-ACAA-56698F8277E3}"/>
              </c:ext>
            </c:extLst>
          </c:dPt>
          <c:dPt>
            <c:idx val="4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03-3B46-ACAA-56698F8277E3}"/>
              </c:ext>
            </c:extLst>
          </c:dPt>
          <c:dPt>
            <c:idx val="5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03-3B46-ACAA-56698F8277E3}"/>
              </c:ext>
            </c:extLst>
          </c:dPt>
          <c:dPt>
            <c:idx val="6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03-3B46-ACAA-56698F8277E3}"/>
              </c:ext>
            </c:extLst>
          </c:dPt>
          <c:dLbls>
            <c:dLbl>
              <c:idx val="3"/>
              <c:layout>
                <c:manualLayout>
                  <c:x val="0.53395176546327938"/>
                  <c:y val="6.908462867012089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95862068965515"/>
                      <c:h val="0.213583724569640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503-3B46-ACAA-56698F8277E3}"/>
                </c:ext>
              </c:extLst>
            </c:dLbl>
            <c:dLbl>
              <c:idx val="4"/>
              <c:layout>
                <c:manualLayout>
                  <c:x val="-0.22641509433962265"/>
                  <c:y val="1.899827288428324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6037735849055"/>
                      <c:h val="0.176165803108808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503-3B46-ACAA-56698F8277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Dashboard!$O$24:$O$30</c:f>
              <c:numCache>
                <c:formatCode>0%</c:formatCode>
                <c:ptCount val="7"/>
                <c:pt idx="0">
                  <c:v>0.31906276953960228</c:v>
                </c:pt>
                <c:pt idx="1">
                  <c:v>0.3635352109554299</c:v>
                </c:pt>
                <c:pt idx="2">
                  <c:v>4.1913029379413096E-2</c:v>
                </c:pt>
                <c:pt idx="3">
                  <c:v>9.4888134893848591E-2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D-9C4E-AE21-591BE7B3A43B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03-3B46-ACAA-56698F8277E3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503-3B46-ACAA-56698F8277E3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Dashboard!$N$25:$O$25</c:f>
              <c:numCache>
                <c:formatCode>0%</c:formatCode>
                <c:ptCount val="2"/>
                <c:pt idx="0" formatCode="General">
                  <c:v>0</c:v>
                </c:pt>
                <c:pt idx="1">
                  <c:v>0.3635352109554299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D-9C4E-AE21-591BE7B3A43B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B36-9142-9EAC-876BD8B2D34A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B36-9142-9EAC-876BD8B2D34A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Dashboard!$N$26:$O$26</c:f>
              <c:numCache>
                <c:formatCode>0%</c:formatCode>
                <c:ptCount val="2"/>
                <c:pt idx="0" formatCode="General">
                  <c:v>0</c:v>
                </c:pt>
                <c:pt idx="1">
                  <c:v>4.1913029379413096E-2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503-3B46-ACAA-56698F8277E3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B36-9142-9EAC-876BD8B2D34A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B36-9142-9EAC-876BD8B2D34A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Dashboard!$N$27:$O$27</c:f>
              <c:numCache>
                <c:formatCode>0%</c:formatCode>
                <c:ptCount val="2"/>
                <c:pt idx="0" formatCode="General">
                  <c:v>0</c:v>
                </c:pt>
                <c:pt idx="1">
                  <c:v>9.4888134893848591E-2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503-3B46-ACAA-56698F8277E3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B36-9142-9EAC-876BD8B2D34A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B36-9142-9EAC-876BD8B2D34A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Dashboard!$N$28:$O$28</c:f>
              <c:numCache>
                <c:formatCode>0%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503-3B46-ACAA-56698F8277E3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B36-9142-9EAC-876BD8B2D34A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B36-9142-9EAC-876BD8B2D34A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Dashboard!$N$29:$O$29</c:f>
              <c:numCache>
                <c:formatCode>0%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503-3B46-ACAA-56698F8277E3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B36-9142-9EAC-876BD8B2D34A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B36-9142-9EAC-876BD8B2D34A}"/>
              </c:ext>
            </c:extLst>
          </c:dPt>
          <c:cat>
            <c:strRef>
              <c:f>Dashboard!$N$23:$N$30</c:f>
              <c:strCache>
                <c:ptCount val="5"/>
                <c:pt idx="0">
                  <c:v>렌탈</c:v>
                </c:pt>
                <c:pt idx="1">
                  <c:v>기타</c:v>
                </c:pt>
                <c:pt idx="2">
                  <c:v>타이어</c:v>
                </c:pt>
                <c:pt idx="3">
                  <c:v>LFP(지게차)</c:v>
                </c:pt>
                <c:pt idx="4">
                  <c:v>LFP(고소작업대)</c:v>
                </c:pt>
              </c:strCache>
            </c:strRef>
          </c:cat>
          <c:val>
            <c:numRef>
              <c:f>Dashboard!$N$30:$O$30</c:f>
              <c:numCache>
                <c:formatCode>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A-C503-3B46-ACAA-56698F827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8</xdr:row>
      <xdr:rowOff>95250</xdr:rowOff>
    </xdr:from>
    <xdr:to>
      <xdr:col>16</xdr:col>
      <xdr:colOff>431800</xdr:colOff>
      <xdr:row>19</xdr:row>
      <xdr:rowOff>165100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0228B9D-3EDF-21A4-F8F2-D5C057D33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222249</xdr:colOff>
      <xdr:row>29</xdr:row>
      <xdr:rowOff>66675</xdr:rowOff>
    </xdr:from>
    <xdr:to>
      <xdr:col>14</xdr:col>
      <xdr:colOff>793749</xdr:colOff>
      <xdr:row>37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3E259D4-D195-7D66-84AA-96F3A69A5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0</xdr:row>
          <xdr:rowOff>152400</xdr:rowOff>
        </xdr:from>
        <xdr:to>
          <xdr:col>16</xdr:col>
          <xdr:colOff>304800</xdr:colOff>
          <xdr:row>2</xdr:row>
          <xdr:rowOff>166914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FA61900B-7B02-8629-A02B-D40DBC2141F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shboard!$F$7:$I$8" spid="_x0000_s121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861800" y="152400"/>
              <a:ext cx="4445000" cy="4717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932-74B7-184A-ABE1-B70F34942452}">
  <dimension ref="B1:Q39"/>
  <sheetViews>
    <sheetView showGridLines="0" topLeftCell="A10" zoomScaleNormal="100" workbookViewId="0">
      <selection activeCell="K9" sqref="K9"/>
    </sheetView>
  </sheetViews>
  <sheetFormatPr baseColWidth="10" defaultColWidth="10.7109375" defaultRowHeight="18"/>
  <cols>
    <col min="1" max="1" width="2.42578125" style="1" customWidth="1"/>
    <col min="2" max="2" width="2" style="1" customWidth="1"/>
    <col min="3" max="3" width="12.5703125" style="1" customWidth="1"/>
    <col min="4" max="4" width="10.7109375" style="1"/>
    <col min="5" max="5" width="10.7109375" style="1" hidden="1" customWidth="1"/>
    <col min="6" max="6" width="10.7109375" style="1"/>
    <col min="7" max="8" width="13.28515625" style="1" customWidth="1"/>
    <col min="9" max="9" width="12.7109375" style="1" bestFit="1" customWidth="1"/>
    <col min="10" max="10" width="11.28515625" style="1" bestFit="1" customWidth="1"/>
    <col min="11" max="11" width="22" style="1" bestFit="1" customWidth="1"/>
    <col min="12" max="12" width="13.28515625" style="1" customWidth="1"/>
    <col min="13" max="13" width="11.28515625" style="1" bestFit="1" customWidth="1"/>
    <col min="14" max="14" width="22" style="1" bestFit="1" customWidth="1"/>
    <col min="15" max="15" width="11.7109375" style="1" bestFit="1" customWidth="1"/>
    <col min="16" max="16" width="12.42578125" style="1" bestFit="1" customWidth="1"/>
    <col min="17" max="16384" width="10.7109375" style="1"/>
  </cols>
  <sheetData>
    <row r="1" spans="2:17" ht="19" thickBot="1"/>
    <row r="2" spans="2:17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2:17">
      <c r="B3" s="18"/>
      <c r="C3" s="40" t="s">
        <v>123</v>
      </c>
      <c r="D3" s="40"/>
      <c r="E3" s="40"/>
      <c r="F3" s="40"/>
      <c r="G3" s="40"/>
      <c r="H3" s="40"/>
      <c r="I3" s="40"/>
      <c r="Q3" s="19"/>
    </row>
    <row r="4" spans="2:17">
      <c r="B4" s="18"/>
      <c r="C4" s="40"/>
      <c r="D4" s="40"/>
      <c r="E4" s="40"/>
      <c r="F4" s="40"/>
      <c r="G4" s="40"/>
      <c r="H4" s="40"/>
      <c r="I4" s="40"/>
      <c r="Q4" s="19"/>
    </row>
    <row r="5" spans="2:17">
      <c r="B5" s="18"/>
      <c r="Q5" s="19"/>
    </row>
    <row r="6" spans="2:17" ht="28" customHeight="1">
      <c r="B6" s="18"/>
      <c r="C6" s="12" t="s">
        <v>122</v>
      </c>
      <c r="D6" s="34"/>
      <c r="F6" s="42" t="s">
        <v>339</v>
      </c>
      <c r="G6" s="42"/>
      <c r="H6" s="42"/>
      <c r="I6" s="42"/>
      <c r="K6" s="8" t="s">
        <v>118</v>
      </c>
      <c r="Q6" s="19"/>
    </row>
    <row r="7" spans="2:17">
      <c r="B7" s="18"/>
      <c r="F7" s="33" t="s">
        <v>345</v>
      </c>
      <c r="G7" s="33" t="s">
        <v>68</v>
      </c>
      <c r="H7" s="33" t="s">
        <v>69</v>
      </c>
      <c r="I7" s="33" t="s">
        <v>70</v>
      </c>
      <c r="K7" s="9"/>
      <c r="Q7" s="19"/>
    </row>
    <row r="8" spans="2:17">
      <c r="B8" s="18"/>
      <c r="F8" s="38">
        <f>AVERAGE(F11:F22)</f>
        <v>5.416666666666667</v>
      </c>
      <c r="G8" s="39">
        <f>SUM(G11:G22)</f>
        <v>279393587</v>
      </c>
      <c r="H8" s="39">
        <f>SUM(H11:H22)</f>
        <v>210944426</v>
      </c>
      <c r="I8" s="39">
        <f>SUM(I11:I22)</f>
        <v>68449161.00000003</v>
      </c>
      <c r="K8" s="1" t="s">
        <v>14</v>
      </c>
      <c r="L8" s="1" t="s">
        <v>56</v>
      </c>
      <c r="M8" s="1" t="s">
        <v>68</v>
      </c>
      <c r="Q8" s="19"/>
    </row>
    <row r="9" spans="2:17">
      <c r="B9" s="18"/>
      <c r="C9" s="31" t="s">
        <v>312</v>
      </c>
      <c r="K9" s="10" t="s">
        <v>289</v>
      </c>
      <c r="L9" s="1" t="s">
        <v>107</v>
      </c>
      <c r="M9" s="11">
        <f>SUMIFS(
    RAW!$N$3:$N$999,
    RAW!$G$3:$G$999, $K$9,
    RAW!$F$3:$F$999, L9
)</f>
        <v>0</v>
      </c>
      <c r="Q9" s="19"/>
    </row>
    <row r="10" spans="2:17">
      <c r="B10" s="18"/>
      <c r="C10" s="1" t="s">
        <v>57</v>
      </c>
      <c r="D10" s="1" t="s">
        <v>56</v>
      </c>
      <c r="E10" s="1" t="s">
        <v>81</v>
      </c>
      <c r="F10" s="1" t="s">
        <v>79</v>
      </c>
      <c r="G10" s="1" t="s">
        <v>68</v>
      </c>
      <c r="H10" s="1" t="s">
        <v>69</v>
      </c>
      <c r="I10" s="1" t="s">
        <v>70</v>
      </c>
      <c r="L10" s="1" t="s">
        <v>108</v>
      </c>
      <c r="M10" s="11">
        <f>SUMIFS(
    RAW!$N$3:$N$999,
    RAW!$G$3:$G$999, $K$9,
    RAW!$F$3:$F$999, L10
)</f>
        <v>0</v>
      </c>
      <c r="Q10" s="19"/>
    </row>
    <row r="11" spans="2:17">
      <c r="B11" s="18"/>
      <c r="C11" s="1" t="s">
        <v>80</v>
      </c>
      <c r="D11" s="1" t="s">
        <v>128</v>
      </c>
      <c r="E11" s="1" t="str">
        <f>CONCATENATE(C11,D11)</f>
        <v>2025년4월</v>
      </c>
      <c r="F11" s="11" cm="1">
        <f t="array" ref="F11">COUNTA(_xlfn.UNIQUE(_xlfn._xlws.FILTER(RAW!$G$4:$G$1000,(RAW!$F$4:$F$1000=E11) * (RAW!$G$4:$G$1000&lt;&gt;""))))</f>
        <v>4</v>
      </c>
      <c r="G11" s="11">
        <f>SUMIF(RAW!F:F,Dashboard!E11,RAW!N:N)</f>
        <v>7491000</v>
      </c>
      <c r="H11" s="11">
        <f>SUMIF(RAW!F:F,Dashboard!E11,RAW!P:P)</f>
        <v>6485600</v>
      </c>
      <c r="I11" s="11">
        <f>G11-H11</f>
        <v>1005400</v>
      </c>
      <c r="J11" s="4"/>
      <c r="L11" s="1" t="s">
        <v>109</v>
      </c>
      <c r="M11" s="11">
        <f>SUMIFS(
    RAW!$N$3:$N$999,
    RAW!$G$3:$G$999, $K$9,
    RAW!$F$3:$F$999, L11
)</f>
        <v>0</v>
      </c>
      <c r="Q11" s="19"/>
    </row>
    <row r="12" spans="2:17">
      <c r="B12" s="18"/>
      <c r="C12" s="1" t="s">
        <v>80</v>
      </c>
      <c r="D12" s="1" t="s">
        <v>71</v>
      </c>
      <c r="E12" s="1" t="str">
        <f t="shared" ref="E12:E18" si="0">CONCATENATE(C12,D12)</f>
        <v>2025년5월</v>
      </c>
      <c r="F12" s="11" cm="1">
        <f t="array" ref="F12">COUNTA(_xlfn.UNIQUE(_xlfn._xlws.FILTER(RAW!$G$4:$G$1000,(RAW!$F$4:$F$1000=E12) * (RAW!$G$4:$G$1000&lt;&gt;""))))</f>
        <v>9</v>
      </c>
      <c r="G12" s="11">
        <f>SUMIF(RAW!F:F,Dashboard!E12,RAW!N:N)</f>
        <v>94519040.000000015</v>
      </c>
      <c r="H12" s="11">
        <f>SUMIF(RAW!F:F,Dashboard!E12,RAW!P:P)</f>
        <v>74413108</v>
      </c>
      <c r="I12" s="11">
        <f t="shared" ref="I12:I18" si="1">G12-H12</f>
        <v>20105932.000000015</v>
      </c>
      <c r="L12" s="1" t="s">
        <v>110</v>
      </c>
      <c r="M12" s="11">
        <f>SUMIFS(
    RAW!$N$3:$N$999,
    RAW!$G$3:$G$999, $K$9,
    RAW!$F$3:$F$999, L12
)</f>
        <v>5610000</v>
      </c>
      <c r="Q12" s="19"/>
    </row>
    <row r="13" spans="2:17">
      <c r="B13" s="18"/>
      <c r="C13" s="1" t="s">
        <v>80</v>
      </c>
      <c r="D13" s="1" t="s">
        <v>72</v>
      </c>
      <c r="E13" s="1" t="str">
        <f t="shared" si="0"/>
        <v>2025년6월</v>
      </c>
      <c r="F13" s="11" cm="1">
        <f t="array" ref="F13">COUNTA(_xlfn.UNIQUE(_xlfn._xlws.FILTER(RAW!$G$4:$G$1000,(RAW!$F$4:$F$1000=E13) * (RAW!$G$4:$G$1000&lt;&gt;""))))</f>
        <v>9</v>
      </c>
      <c r="G13" s="11">
        <f>SUMIF(RAW!F:F,Dashboard!E13,RAW!N:N)</f>
        <v>40979147</v>
      </c>
      <c r="H13" s="11">
        <f>SUMIF(RAW!F:F,Dashboard!E13,RAW!P:P)</f>
        <v>20553918</v>
      </c>
      <c r="I13" s="11">
        <f t="shared" si="1"/>
        <v>20425229</v>
      </c>
      <c r="L13" s="1" t="s">
        <v>111</v>
      </c>
      <c r="M13" s="11">
        <f>SUMIFS(
    RAW!$N$3:$N$999,
    RAW!$G$3:$G$999, $K$9,
    RAW!$F$3:$F$999, L13
)</f>
        <v>3388000</v>
      </c>
      <c r="Q13" s="19"/>
    </row>
    <row r="14" spans="2:17">
      <c r="B14" s="18"/>
      <c r="C14" s="1" t="s">
        <v>80</v>
      </c>
      <c r="D14" s="1" t="s">
        <v>73</v>
      </c>
      <c r="E14" s="1" t="str">
        <f t="shared" si="0"/>
        <v>2025년7월</v>
      </c>
      <c r="F14" s="11" cm="1">
        <f t="array" ref="F14">COUNTA(_xlfn.UNIQUE(_xlfn._xlws.FILTER(RAW!$G$4:$G$1000,(RAW!$F$4:$F$1000=E14) * (RAW!$G$4:$G$1000&lt;&gt;""))))</f>
        <v>5</v>
      </c>
      <c r="G14" s="11">
        <f>SUMIF(RAW!F:F,Dashboard!E14,RAW!N:N)</f>
        <v>16948800</v>
      </c>
      <c r="H14" s="11">
        <f>SUMIF(RAW!F:F,Dashboard!E14,RAW!P:P)</f>
        <v>14938000</v>
      </c>
      <c r="I14" s="11">
        <f t="shared" si="1"/>
        <v>2010800</v>
      </c>
      <c r="J14" s="4"/>
      <c r="L14" s="1" t="s">
        <v>112</v>
      </c>
      <c r="M14" s="11">
        <f>SUMIFS(
    RAW!$N$3:$N$999,
    RAW!$G$3:$G$999, $K$9,
    RAW!$F$3:$F$999, L14
)</f>
        <v>4584800.0000000009</v>
      </c>
      <c r="Q14" s="19"/>
    </row>
    <row r="15" spans="2:17">
      <c r="B15" s="18"/>
      <c r="C15" s="1" t="s">
        <v>80</v>
      </c>
      <c r="D15" s="1" t="s">
        <v>74</v>
      </c>
      <c r="E15" s="1" t="str">
        <f t="shared" si="0"/>
        <v>2025년8월</v>
      </c>
      <c r="F15" s="11" cm="1">
        <f t="array" ref="F15">COUNTA(_xlfn.UNIQUE(_xlfn._xlws.FILTER(RAW!$G$4:$G$1000,(RAW!$F$4:$F$1000=E15) * (RAW!$G$4:$G$1000&lt;&gt;""))))</f>
        <v>4</v>
      </c>
      <c r="G15" s="11">
        <f>SUMIF(RAW!F:F,Dashboard!E15,RAW!N:N)</f>
        <v>13255000</v>
      </c>
      <c r="H15" s="11">
        <f>SUMIF(RAW!F:F,Dashboard!E15,RAW!P:P)</f>
        <v>11396000</v>
      </c>
      <c r="I15" s="11">
        <f t="shared" si="1"/>
        <v>1859000</v>
      </c>
      <c r="J15" s="4"/>
      <c r="L15" s="1" t="s">
        <v>113</v>
      </c>
      <c r="M15" s="11">
        <f>SUMIFS(
    RAW!$N$3:$N$999,
    RAW!$G$3:$G$999, $K$9,
    RAW!$F$3:$F$999, L15
)</f>
        <v>3179000.0000000005</v>
      </c>
      <c r="Q15" s="19"/>
    </row>
    <row r="16" spans="2:17">
      <c r="B16" s="18"/>
      <c r="C16" s="1" t="s">
        <v>80</v>
      </c>
      <c r="D16" s="1" t="s">
        <v>75</v>
      </c>
      <c r="E16" s="1" t="str">
        <f t="shared" si="0"/>
        <v>2025년9월</v>
      </c>
      <c r="F16" s="11" cm="1">
        <f t="array" ref="F16">COUNTA(_xlfn.UNIQUE(_xlfn._xlws.FILTER(RAW!$G$4:$G$1000,(RAW!$F$4:$F$1000=E16) * (RAW!$G$4:$G$1000&lt;&gt;""))))</f>
        <v>6</v>
      </c>
      <c r="G16" s="11">
        <f>SUMIF(RAW!F:F,Dashboard!E16,RAW!N:N)</f>
        <v>16970800</v>
      </c>
      <c r="H16" s="11">
        <f>SUMIF(RAW!F:F,Dashboard!E16,RAW!P:P)</f>
        <v>15118400</v>
      </c>
      <c r="I16" s="11">
        <f t="shared" si="1"/>
        <v>1852400</v>
      </c>
      <c r="L16" s="1" t="s">
        <v>114</v>
      </c>
      <c r="M16" s="11">
        <f>SUMIFS(
    RAW!$N$3:$N$999,
    RAW!$G$3:$G$999, $K$9,
    RAW!$F$3:$F$999, L16
)</f>
        <v>1606000.0000000002</v>
      </c>
      <c r="Q16" s="19"/>
    </row>
    <row r="17" spans="2:17">
      <c r="B17" s="18"/>
      <c r="C17" s="1" t="s">
        <v>80</v>
      </c>
      <c r="D17" s="1" t="s">
        <v>76</v>
      </c>
      <c r="E17" s="1" t="str">
        <f t="shared" si="0"/>
        <v>2025년10월</v>
      </c>
      <c r="F17" s="11" cm="1">
        <f t="array" ref="F17">COUNTA(_xlfn.UNIQUE(_xlfn._xlws.FILTER(RAW!$G$4:$G$1000,(RAW!$F$4:$F$1000=E17) * (RAW!$G$4:$G$1000&lt;&gt;""))))</f>
        <v>4</v>
      </c>
      <c r="G17" s="11">
        <f>SUMIF(RAW!F:F,Dashboard!E17,RAW!N:N)</f>
        <v>7997000</v>
      </c>
      <c r="H17" s="11">
        <f>SUMIF(RAW!F:F,Dashboard!E17,RAW!P:P)</f>
        <v>6589000</v>
      </c>
      <c r="I17" s="11">
        <f t="shared" si="1"/>
        <v>1408000</v>
      </c>
      <c r="J17" s="4"/>
      <c r="K17" s="4"/>
      <c r="L17" s="1" t="s">
        <v>115</v>
      </c>
      <c r="M17" s="11">
        <f>SUMIFS(
    RAW!$N$3:$N$999,
    RAW!$G$3:$G$999, $K$9,
    RAW!$F$3:$F$999, L17
)</f>
        <v>616000</v>
      </c>
      <c r="Q17" s="19"/>
    </row>
    <row r="18" spans="2:17">
      <c r="B18" s="18"/>
      <c r="C18" s="1" t="s">
        <v>80</v>
      </c>
      <c r="D18" s="1" t="s">
        <v>77</v>
      </c>
      <c r="E18" s="1" t="str">
        <f t="shared" si="0"/>
        <v>2025년11월</v>
      </c>
      <c r="F18" s="11" cm="1">
        <f t="array" ref="F18">COUNTA(_xlfn.UNIQUE(_xlfn._xlws.FILTER(RAW!$G$4:$G$1000,(RAW!$F$4:$F$1000=E18) * (RAW!$G$4:$G$1000&lt;&gt;""))))</f>
        <v>7</v>
      </c>
      <c r="G18" s="11">
        <f>SUMIF(RAW!F:F,Dashboard!E18,RAW!N:N)</f>
        <v>53264200.000000007</v>
      </c>
      <c r="H18" s="11">
        <f>SUMIF(RAW!F:F,Dashboard!E18,RAW!P:P)</f>
        <v>38390000</v>
      </c>
      <c r="I18" s="11">
        <f t="shared" si="1"/>
        <v>14874200.000000007</v>
      </c>
      <c r="L18" s="1" t="s">
        <v>116</v>
      </c>
      <c r="M18" s="11">
        <f>SUMIFS(
    RAW!$N$3:$N$999,
    RAW!$G$3:$G$999, $K$9,
    RAW!$F$3:$F$999, L18
)</f>
        <v>5139200</v>
      </c>
      <c r="Q18" s="19"/>
    </row>
    <row r="19" spans="2:17">
      <c r="B19" s="18"/>
      <c r="C19" s="1" t="s">
        <v>80</v>
      </c>
      <c r="D19" s="1" t="s">
        <v>78</v>
      </c>
      <c r="E19" s="1" t="str">
        <f t="shared" ref="E19:E20" si="2">CONCATENATE(C19,D19)</f>
        <v>2025년12월</v>
      </c>
      <c r="F19" s="11" cm="1">
        <f t="array" ref="F19">COUNTA(_xlfn.UNIQUE(_xlfn._xlws.FILTER(RAW!$G$4:$G$1000,(RAW!$F$4:$F$1000=E19) * (RAW!$G$4:$G$1000&lt;&gt;""))))</f>
        <v>8</v>
      </c>
      <c r="G19" s="11">
        <f>SUMIF(RAW!F:F,Dashboard!E19,RAW!N:N)</f>
        <v>18966200</v>
      </c>
      <c r="H19" s="11">
        <f>SUMIF(RAW!F:F,Dashboard!E19,RAW!P:P)</f>
        <v>16205200</v>
      </c>
      <c r="I19" s="11">
        <f t="shared" ref="I19:I20" si="3">G19-H19</f>
        <v>2761000</v>
      </c>
      <c r="L19" s="1" t="s">
        <v>117</v>
      </c>
      <c r="M19" s="11">
        <f>SUMIFS(
    RAW!$N$3:$N$999,
    RAW!$G$3:$G$999, $K$9,
    RAW!$F$3:$F$999, L19
)</f>
        <v>3179000.0000000005</v>
      </c>
      <c r="Q19" s="19"/>
    </row>
    <row r="20" spans="2:17">
      <c r="B20" s="18"/>
      <c r="C20" s="1" t="s">
        <v>329</v>
      </c>
      <c r="D20" s="1" t="s">
        <v>315</v>
      </c>
      <c r="E20" s="1" t="str">
        <f t="shared" si="2"/>
        <v>2026년1월</v>
      </c>
      <c r="F20" s="11" cm="1">
        <f t="array" ref="F20">COUNTA(_xlfn.UNIQUE(_xlfn._xlws.FILTER(RAW!$G$4:$G$1000,(RAW!$F$4:$F$1000=E20) * (RAW!$G$4:$G$1000&lt;&gt;""))))</f>
        <v>7</v>
      </c>
      <c r="G20" s="11">
        <f>SUMIF(RAW!F:F,Dashboard!E20,RAW!N:N)</f>
        <v>9002400</v>
      </c>
      <c r="H20" s="11">
        <f>SUMIF(RAW!F:F,Dashboard!E20,RAW!P:P)</f>
        <v>6855200</v>
      </c>
      <c r="I20" s="11">
        <f t="shared" si="3"/>
        <v>2147200</v>
      </c>
      <c r="L20" s="1" t="s">
        <v>330</v>
      </c>
      <c r="M20" s="11">
        <f>SUMIFS(
    RAW!$N$3:$N$999,
    RAW!$G$3:$G$999, $K$9,
    RAW!$F$3:$F$999, L20
)</f>
        <v>0</v>
      </c>
      <c r="Q20" s="19"/>
    </row>
    <row r="21" spans="2:17">
      <c r="B21" s="18"/>
      <c r="C21" s="1" t="s">
        <v>329</v>
      </c>
      <c r="D21" s="1" t="s">
        <v>316</v>
      </c>
      <c r="F21" s="11" cm="1">
        <f t="array" ref="F21">COUNTA(_xlfn.UNIQUE(_xlfn._xlws.FILTER(RAW!$G$4:$G$1000,(RAW!$F$4:$F$1000=E21) * (RAW!$G$4:$G$1000&lt;&gt;""))))</f>
        <v>1</v>
      </c>
      <c r="G21" s="11">
        <f>SUMIF(RAW!F:F,Dashboard!E21,RAW!N:N)</f>
        <v>0</v>
      </c>
      <c r="H21" s="11">
        <f>SUMIF(RAW!F:F,Dashboard!E21,RAW!P:P)</f>
        <v>0</v>
      </c>
      <c r="I21" s="11">
        <f t="shared" ref="I21:I22" si="4">G21-H21</f>
        <v>0</v>
      </c>
      <c r="Q21" s="19"/>
    </row>
    <row r="22" spans="2:17" ht="28" customHeight="1">
      <c r="B22" s="18"/>
      <c r="C22" s="1" t="s">
        <v>329</v>
      </c>
      <c r="D22" s="1" t="s">
        <v>127</v>
      </c>
      <c r="F22" s="11" cm="1">
        <f t="array" ref="F22">COUNTA(_xlfn.UNIQUE(_xlfn._xlws.FILTER(RAW!$G$4:$G$1000,(RAW!$F$4:$F$1000=E22) * (RAW!$G$4:$G$1000&lt;&gt;""))))</f>
        <v>1</v>
      </c>
      <c r="G22" s="11">
        <f>SUMIF(RAW!F:F,Dashboard!E22,RAW!N:N)</f>
        <v>0</v>
      </c>
      <c r="H22" s="11">
        <f>SUMIF(RAW!F:F,Dashboard!E22,RAW!P:P)</f>
        <v>0</v>
      </c>
      <c r="I22" s="11">
        <f t="shared" si="4"/>
        <v>0</v>
      </c>
      <c r="K22" s="8" t="s">
        <v>119</v>
      </c>
      <c r="N22" s="12" t="s">
        <v>121</v>
      </c>
      <c r="O22" s="13"/>
      <c r="Q22" s="19"/>
    </row>
    <row r="23" spans="2:17">
      <c r="B23" s="18"/>
      <c r="K23" s="9"/>
      <c r="N23" s="1" t="str" cm="1">
        <f t="array" ref="N23:N27">_xlfn.UNIQUE(_xlfn._xlws.FILTER(RAW!I5:I1999, RAW!I5:I1999&lt;&gt;""))</f>
        <v>렌탈</v>
      </c>
      <c r="O23" s="14">
        <f>SUMIFS(RAW!N:N, RAW!I:I, N23) / SUM(RAW!N:N)</f>
        <v>0.18060085523170621</v>
      </c>
      <c r="P23" s="11">
        <f>SUMIFS(RAW!N:N, RAW!I:I,Dashboard!N23)</f>
        <v>52613000</v>
      </c>
      <c r="Q23" s="19"/>
    </row>
    <row r="24" spans="2:17">
      <c r="B24" s="18"/>
      <c r="F24" s="41" t="s">
        <v>342</v>
      </c>
      <c r="G24" s="41"/>
      <c r="H24" s="35" t="s">
        <v>68</v>
      </c>
      <c r="I24" s="37">
        <f>SUM(G27:G38)/10</f>
        <v>10590580</v>
      </c>
      <c r="K24" s="1" t="str" cm="1">
        <f t="array" ref="K24:K28">_xlfn.TAKE(
    _xlfn.SORTBY(
        _xlfn.UNIQUE(_xlfn._xlws.FILTER(RAW!G3:G999, RAW!G3:G999&lt;&gt;"")),
        _xlfn.BYROW(
            _xlfn.UNIQUE(_xlfn._xlws.FILTER(RAW!G3:G999, RAW!G3:G999&lt;&gt;"")),
            _xlfn.LAMBDA(_xlpm.c, SUMIFS(RAW!N3:N999, RAW!G3:G999, _xlpm.c))
        ),
        -1
    ),
    5
)</f>
        <v>동성종합지게차</v>
      </c>
      <c r="L24" s="11">
        <f>SUMIFS(RAW!N:N,RAW!G:G,Dashboard!K24)</f>
        <v>100387947.00000001</v>
      </c>
      <c r="N24" s="1" t="str">
        <v>기타</v>
      </c>
      <c r="O24" s="14">
        <f>SUMIFS(RAW!N:N, RAW!I:I, N24) / SUM(RAW!N:N)</f>
        <v>0.31906276953960228</v>
      </c>
      <c r="P24" s="11">
        <f>SUMIFS(RAW!N:N, RAW!I:I,Dashboard!N24)</f>
        <v>92950000.000000015</v>
      </c>
      <c r="Q24" s="19"/>
    </row>
    <row r="25" spans="2:17">
      <c r="B25" s="18"/>
      <c r="C25" s="31" t="s">
        <v>313</v>
      </c>
      <c r="F25" s="33" t="s">
        <v>344</v>
      </c>
      <c r="G25" s="36">
        <f>SUM(F27:F36)/10</f>
        <v>3.7</v>
      </c>
      <c r="H25" s="35" t="s">
        <v>343</v>
      </c>
      <c r="I25" s="37">
        <f>SUM(I26:I38)/10</f>
        <v>1250150</v>
      </c>
      <c r="K25" s="1" t="str">
        <v>주식회사 에스제이</v>
      </c>
      <c r="L25" s="11">
        <f>SUMIFS(RAW!N:N,RAW!G:G,Dashboard!K25)</f>
        <v>43945000.000000007</v>
      </c>
      <c r="N25" s="1" t="str">
        <v>타이어</v>
      </c>
      <c r="O25" s="14">
        <f>SUMIFS(RAW!N:N, RAW!I:I, N25) / SUM(RAW!N:N)</f>
        <v>0.3635352109554299</v>
      </c>
      <c r="P25" s="11">
        <f>SUMIFS(RAW!N:N, RAW!I:I,Dashboard!N25)</f>
        <v>105905800</v>
      </c>
      <c r="Q25" s="19"/>
    </row>
    <row r="26" spans="2:17">
      <c r="B26" s="18"/>
      <c r="C26" s="1" t="s">
        <v>57</v>
      </c>
      <c r="D26" s="1" t="s">
        <v>56</v>
      </c>
      <c r="E26" s="1" t="s">
        <v>81</v>
      </c>
      <c r="F26" s="1" t="s">
        <v>79</v>
      </c>
      <c r="G26" s="1" t="s">
        <v>68</v>
      </c>
      <c r="H26" s="1" t="s">
        <v>69</v>
      </c>
      <c r="I26" s="1" t="s">
        <v>70</v>
      </c>
      <c r="K26" s="1" t="str">
        <v>백호중기</v>
      </c>
      <c r="L26" s="11">
        <f>SUMIFS(RAW!N:N,RAW!G:G,Dashboard!K26)</f>
        <v>33576400</v>
      </c>
      <c r="N26" s="1" t="str">
        <v>LFP(지게차)</v>
      </c>
      <c r="O26" s="14">
        <f>SUMIFS(RAW!N:N, RAW!I:I, N26) / SUM(RAW!N:N)</f>
        <v>4.1913029379413096E-2</v>
      </c>
      <c r="P26" s="11">
        <f>SUMIFS(RAW!N:N, RAW!I:I,Dashboard!N26)</f>
        <v>12210187</v>
      </c>
      <c r="Q26" s="19"/>
    </row>
    <row r="27" spans="2:17">
      <c r="B27" s="18"/>
      <c r="C27" s="1" t="s">
        <v>80</v>
      </c>
      <c r="D27" s="1" t="s">
        <v>128</v>
      </c>
      <c r="E27" s="1" t="str">
        <f t="shared" ref="E27:E38" si="5">CONCATENATE(C27,D27)</f>
        <v>2025년4월</v>
      </c>
      <c r="F27" s="11" cm="1">
        <f t="array" ref="F27">COUNTA(_xlfn.UNIQUE(_xlfn._xlws.FILTER(RAW!$G:$G,(RAW!$F:$F=E27)*(RAW!$I:$I="타이어"), "")))</f>
        <v>2</v>
      </c>
      <c r="G27" s="11">
        <f>SUMIFS(RAW!N:N,RAW!F:F,Dashboard!E27,RAW!I:I,"타이어")</f>
        <v>5203000</v>
      </c>
      <c r="H27" s="11">
        <f>SUMIFS(RAW!P:P,RAW!F:F,Dashboard!E27,RAW!I:I,"타이어")</f>
        <v>4747600</v>
      </c>
      <c r="I27" s="11">
        <f>G27-H27</f>
        <v>455400</v>
      </c>
      <c r="K27" s="1" t="str">
        <v>현대지게차경기북부판매(주)</v>
      </c>
      <c r="L27" s="11">
        <f>SUMIFS(RAW!N:N,RAW!G:G,Dashboard!K27)</f>
        <v>29282000</v>
      </c>
      <c r="N27" s="1" t="str">
        <v>LFP(고소작업대)</v>
      </c>
      <c r="O27" s="14">
        <f>SUMIFS(RAW!N:N, RAW!I:I, N27) / SUM(RAW!N:N)</f>
        <v>9.4888134893848591E-2</v>
      </c>
      <c r="P27" s="11">
        <f>SUMIFS(RAW!N:N, RAW!I:I,Dashboard!N27)</f>
        <v>27643000.000000004</v>
      </c>
      <c r="Q27" s="19"/>
    </row>
    <row r="28" spans="2:17">
      <c r="B28" s="18"/>
      <c r="C28" s="1" t="s">
        <v>80</v>
      </c>
      <c r="D28" s="1" t="s">
        <v>71</v>
      </c>
      <c r="E28" s="1" t="str">
        <f t="shared" si="5"/>
        <v>2025년5월</v>
      </c>
      <c r="F28" s="11" cm="1">
        <f t="array" ref="F28">COUNTA(_xlfn.UNIQUE(_xlfn._xlws.FILTER(RAW!$G:$G,(RAW!$F:$F=E28)*(RAW!$I:$I="타이어"), "")))</f>
        <v>5</v>
      </c>
      <c r="G28" s="11">
        <f>SUMIFS(RAW!N:N,RAW!F:F,Dashboard!E28,RAW!I:I,"타이어")</f>
        <v>18400800</v>
      </c>
      <c r="H28" s="11">
        <f>SUMIFS(RAW!P:P,RAW!F:F,Dashboard!E28,RAW!I:I,"타이어")</f>
        <v>15354900</v>
      </c>
      <c r="I28" s="11">
        <f t="shared" ref="I28:I38" si="6">G28-H28</f>
        <v>3045900</v>
      </c>
      <c r="K28" s="1" t="str">
        <v>도화중기주식회사</v>
      </c>
      <c r="L28" s="11">
        <f>SUMIFS(RAW!N:N,RAW!G:G,Dashboard!K28)</f>
        <v>21421400</v>
      </c>
      <c r="O28" s="14">
        <f>SUMIFS(RAW!N:N, RAW!I:I, N28) / SUM(RAW!N:N)</f>
        <v>0</v>
      </c>
      <c r="P28" s="11">
        <f>SUMIFS(RAW!N:N, RAW!I:I,Dashboard!N28)</f>
        <v>0</v>
      </c>
      <c r="Q28" s="19"/>
    </row>
    <row r="29" spans="2:17">
      <c r="B29" s="18"/>
      <c r="C29" s="1" t="s">
        <v>80</v>
      </c>
      <c r="D29" s="1" t="s">
        <v>72</v>
      </c>
      <c r="E29" s="1" t="str">
        <f t="shared" si="5"/>
        <v>2025년6월</v>
      </c>
      <c r="F29" s="11" cm="1">
        <f t="array" ref="F29">COUNTA(_xlfn.UNIQUE(_xlfn._xlws.FILTER(RAW!$G:$G,(RAW!$F:$F=E29)*(RAW!$I:$I="타이어"), "")))</f>
        <v>4</v>
      </c>
      <c r="G29" s="11">
        <f>SUMIFS(RAW!N:N,RAW!F:F,Dashboard!E29,RAW!I:I,"타이어")</f>
        <v>8769200</v>
      </c>
      <c r="H29" s="11">
        <f>SUMIFS(RAW!P:P,RAW!F:F,Dashboard!E29,RAW!I:I,"타이어")</f>
        <v>8261000</v>
      </c>
      <c r="I29" s="11">
        <f t="shared" si="6"/>
        <v>508200</v>
      </c>
      <c r="O29" s="14">
        <f>SUMIFS(RAW!N:N, RAW!I:I, N29) / SUM(RAW!N:N)</f>
        <v>0</v>
      </c>
      <c r="P29" s="11">
        <f>SUMIFS(RAW!N:N, RAW!I:I,Dashboard!N29)</f>
        <v>0</v>
      </c>
      <c r="Q29" s="19"/>
    </row>
    <row r="30" spans="2:17" ht="28" customHeight="1">
      <c r="B30" s="18"/>
      <c r="C30" s="1" t="s">
        <v>80</v>
      </c>
      <c r="D30" s="1" t="s">
        <v>73</v>
      </c>
      <c r="E30" s="1" t="str">
        <f t="shared" si="5"/>
        <v>2025년7월</v>
      </c>
      <c r="F30" s="11" cm="1">
        <f t="array" ref="F30">COUNTA(_xlfn.UNIQUE(_xlfn._xlws.FILTER(RAW!$G:$G,(RAW!$F:$F=E30)*(RAW!$I:$I="타이어"), "")))</f>
        <v>3</v>
      </c>
      <c r="G30" s="11">
        <f>SUMIFS(RAW!N:N,RAW!F:F,Dashboard!E30,RAW!I:I,"타이어")</f>
        <v>12240800.000000002</v>
      </c>
      <c r="H30" s="11">
        <f>SUMIFS(RAW!P:P,RAW!F:F,Dashboard!E30,RAW!I:I,"타이어")</f>
        <v>11440000.000000002</v>
      </c>
      <c r="I30" s="11">
        <f t="shared" si="6"/>
        <v>800800</v>
      </c>
      <c r="K30" s="12" t="s">
        <v>120</v>
      </c>
      <c r="L30" s="13"/>
      <c r="O30" s="14"/>
      <c r="Q30" s="19"/>
    </row>
    <row r="31" spans="2:17">
      <c r="B31" s="18"/>
      <c r="C31" s="1" t="s">
        <v>80</v>
      </c>
      <c r="D31" s="1" t="s">
        <v>74</v>
      </c>
      <c r="E31" s="1" t="str">
        <f t="shared" si="5"/>
        <v>2025년8월</v>
      </c>
      <c r="F31" s="11" cm="1">
        <f t="array" ref="F31">COUNTA(_xlfn.UNIQUE(_xlfn._xlws.FILTER(RAW!$G:$G,(RAW!$F:$F=E31)*(RAW!$I:$I="타이어"), "")))</f>
        <v>2</v>
      </c>
      <c r="G31" s="11">
        <f>SUMIFS(RAW!N:N,RAW!F:F,Dashboard!E31,RAW!I:I,"타이어")</f>
        <v>8547000</v>
      </c>
      <c r="H31" s="11">
        <f>SUMIFS(RAW!P:P,RAW!F:F,Dashboard!E31,RAW!I:I,"타이어")</f>
        <v>7898000</v>
      </c>
      <c r="I31" s="11">
        <f t="shared" si="6"/>
        <v>649000</v>
      </c>
      <c r="K31" s="9"/>
      <c r="Q31" s="19"/>
    </row>
    <row r="32" spans="2:17">
      <c r="B32" s="18"/>
      <c r="C32" s="1" t="s">
        <v>80</v>
      </c>
      <c r="D32" s="1" t="s">
        <v>75</v>
      </c>
      <c r="E32" s="1" t="str">
        <f t="shared" si="5"/>
        <v>2025년9월</v>
      </c>
      <c r="F32" s="11" cm="1">
        <f t="array" ref="F32">COUNTA(_xlfn.UNIQUE(_xlfn._xlws.FILTER(RAW!$G:$G,(RAW!$F:$F=E32)*(RAW!$I:$I="타이어"), "")))</f>
        <v>4</v>
      </c>
      <c r="G32" s="11">
        <f>SUMIFS(RAW!N:N,RAW!F:F,Dashboard!E32,RAW!I:I,"타이어")</f>
        <v>12262800</v>
      </c>
      <c r="H32" s="11">
        <f>SUMIFS(RAW!P:P,RAW!F:F,Dashboard!E32,RAW!I:I,"타이어")</f>
        <v>11620400</v>
      </c>
      <c r="I32" s="11">
        <f t="shared" si="6"/>
        <v>642400</v>
      </c>
      <c r="K32" s="1" t="str" cm="1">
        <f t="array" ref="K32:K36">_xlfn.TAKE(
    _xlfn.SORTBY(
        _xlfn.UNIQUE(_xlfn._xlws.FILTER(RAW!$G$3:$G$999, RAW!$G$3:$G$999&lt;&gt;"")),
        _xlfn.BYROW(
            _xlfn.UNIQUE(_xlfn._xlws.FILTER(RAW!$G$3:$G$999, RAW!$G$3:$G$999&lt;&gt;"")),
            _xlfn.LAMBDA(_xlpm.c, SUMIFS(RAW!$N$3:$N$999,
                             RAW!$G$3:$G$999, _xlpm.c,
                             RAW!$I$3:$I$999, "타이어"))
        ),
        -1
    ),
    5
)</f>
        <v>백호중기</v>
      </c>
      <c r="L32" s="11">
        <f>SUMIFS(RAW!N:N,RAW!G:G,Dashboard!K32,RAW!I:I,"타이어")</f>
        <v>33576400</v>
      </c>
      <c r="Q32" s="19"/>
    </row>
    <row r="33" spans="2:17">
      <c r="B33" s="18"/>
      <c r="C33" s="1" t="s">
        <v>80</v>
      </c>
      <c r="D33" s="1" t="s">
        <v>76</v>
      </c>
      <c r="E33" s="1" t="str">
        <f t="shared" si="5"/>
        <v>2025년10월</v>
      </c>
      <c r="F33" s="11" cm="1">
        <f t="array" ref="F33">COUNTA(_xlfn.UNIQUE(_xlfn._xlws.FILTER(RAW!$G:$G,(RAW!$F:$F=E33)*(RAW!$I:$I="타이어"), "")))</f>
        <v>2</v>
      </c>
      <c r="G33" s="11">
        <f>SUMIFS(RAW!N:N,RAW!F:F,Dashboard!E33,RAW!I:I,"타이어")</f>
        <v>3289000.0000000005</v>
      </c>
      <c r="H33" s="11">
        <f>SUMIFS(RAW!P:P,RAW!F:F,Dashboard!E33,RAW!I:I,"타이어")</f>
        <v>3091000.0000000005</v>
      </c>
      <c r="I33" s="11">
        <f t="shared" si="6"/>
        <v>198000</v>
      </c>
      <c r="K33" s="1" t="str">
        <v>현대지게차경기북부판매(주)</v>
      </c>
      <c r="L33" s="11">
        <f>SUMIFS(RAW!N:N,RAW!G:G,Dashboard!K33,RAW!I:I,"타이어")</f>
        <v>22682000</v>
      </c>
      <c r="Q33" s="19"/>
    </row>
    <row r="34" spans="2:17">
      <c r="B34" s="18"/>
      <c r="C34" s="1" t="s">
        <v>80</v>
      </c>
      <c r="D34" s="1" t="s">
        <v>77</v>
      </c>
      <c r="E34" s="1" t="str">
        <f t="shared" si="5"/>
        <v>2025년11월</v>
      </c>
      <c r="F34" s="11" cm="1">
        <f t="array" ref="F34">COUNTA(_xlfn.UNIQUE(_xlfn._xlws.FILTER(RAW!$G:$G,(RAW!$F:$F=E34)*(RAW!$I:$I="타이어"), "")))</f>
        <v>4</v>
      </c>
      <c r="G34" s="11">
        <f>SUMIFS(RAW!N:N,RAW!F:F,Dashboard!E34,RAW!I:I,"타이어")</f>
        <v>15413200</v>
      </c>
      <c r="H34" s="11">
        <f>SUMIFS(RAW!P:P,RAW!F:F,Dashboard!E34,RAW!I:I,"타이어")</f>
        <v>13695000</v>
      </c>
      <c r="I34" s="11">
        <f t="shared" si="6"/>
        <v>1718200</v>
      </c>
      <c r="K34" s="1" t="str">
        <v>도화중기주식회사</v>
      </c>
      <c r="L34" s="11">
        <f>SUMIFS(RAW!N:N,RAW!G:G,Dashboard!K34,RAW!I:I,"타이어")</f>
        <v>21421400</v>
      </c>
      <c r="Q34" s="19"/>
    </row>
    <row r="35" spans="2:17">
      <c r="B35" s="18"/>
      <c r="C35" s="1" t="s">
        <v>80</v>
      </c>
      <c r="D35" s="1" t="s">
        <v>78</v>
      </c>
      <c r="E35" s="1" t="str">
        <f t="shared" si="5"/>
        <v>2025년12월</v>
      </c>
      <c r="F35" s="11" cm="1">
        <f t="array" ref="F35">COUNTA(_xlfn.UNIQUE(_xlfn._xlws.FILTER(RAW!$G:$G,(RAW!$F:$F=E35)*(RAW!$I:$I="타이어"), "")))</f>
        <v>6</v>
      </c>
      <c r="G35" s="11">
        <f>SUMIFS(RAW!N:N,RAW!F:F,Dashboard!E35,RAW!I:I,"타이어")</f>
        <v>14258200</v>
      </c>
      <c r="H35" s="11">
        <f>SUMIFS(RAW!P:P,RAW!F:F,Dashboard!E35,RAW!I:I,"타이어")</f>
        <v>12707200</v>
      </c>
      <c r="I35" s="11">
        <f t="shared" si="6"/>
        <v>1551000</v>
      </c>
      <c r="K35" s="1" t="str">
        <v>대양토탈라인 주식회사</v>
      </c>
      <c r="L35" s="11">
        <f>SUMIFS(RAW!N:N,RAW!G:G,Dashboard!K35,RAW!I:I,"타이어")</f>
        <v>10835000</v>
      </c>
      <c r="Q35" s="19"/>
    </row>
    <row r="36" spans="2:17">
      <c r="B36" s="18"/>
      <c r="C36" s="1" t="s">
        <v>329</v>
      </c>
      <c r="D36" s="1" t="s">
        <v>315</v>
      </c>
      <c r="E36" s="1" t="str">
        <f t="shared" si="5"/>
        <v>2026년1월</v>
      </c>
      <c r="F36" s="11" cm="1">
        <f t="array" ref="F36">COUNTA(_xlfn.UNIQUE(_xlfn._xlws.FILTER(RAW!$G:$G,(RAW!$F:$F=E36)*(RAW!$I:$I="타이어"), "")))</f>
        <v>5</v>
      </c>
      <c r="G36" s="11">
        <f>SUMIFS(RAW!N:N,RAW!F:F,Dashboard!E36,RAW!I:I,"타이어")</f>
        <v>4294400</v>
      </c>
      <c r="H36" s="11">
        <f>SUMIFS(RAW!P:P,RAW!F:F,Dashboard!E36,RAW!I:I,"타이어")</f>
        <v>3357200</v>
      </c>
      <c r="I36" s="11">
        <f t="shared" si="6"/>
        <v>937200</v>
      </c>
      <c r="K36" s="1" t="str">
        <v>상주대형중기화물</v>
      </c>
      <c r="L36" s="11">
        <f>SUMIFS(RAW!N:N,RAW!G:G,Dashboard!K36,RAW!I:I,"타이어")</f>
        <v>4699200</v>
      </c>
      <c r="Q36" s="19"/>
    </row>
    <row r="37" spans="2:17">
      <c r="B37" s="18"/>
      <c r="C37" s="1" t="s">
        <v>329</v>
      </c>
      <c r="D37" s="1" t="s">
        <v>316</v>
      </c>
      <c r="E37" s="1" t="str">
        <f t="shared" si="5"/>
        <v>2026년2월</v>
      </c>
      <c r="F37" s="11" cm="1">
        <f t="array" ref="F37">COUNTA(_xlfn.UNIQUE(_xlfn._xlws.FILTER(RAW!$G:$G,(RAW!$F:$F=E37)*(RAW!$I:$I="타이어"), "")))</f>
        <v>2</v>
      </c>
      <c r="G37" s="11">
        <f>SUMIFS(RAW!N:N,RAW!F:F,Dashboard!E37,RAW!I:I,"타이어")</f>
        <v>1247400.0000000002</v>
      </c>
      <c r="H37" s="11">
        <f>SUMIFS(RAW!P:P,RAW!F:F,Dashboard!E37,RAW!I:I,"타이어")</f>
        <v>1232000.0000000002</v>
      </c>
      <c r="I37" s="11">
        <f t="shared" si="6"/>
        <v>15400</v>
      </c>
      <c r="Q37" s="19"/>
    </row>
    <row r="38" spans="2:17">
      <c r="B38" s="18"/>
      <c r="C38" s="1" t="s">
        <v>329</v>
      </c>
      <c r="D38" s="1" t="s">
        <v>127</v>
      </c>
      <c r="E38" s="1" t="str">
        <f t="shared" si="5"/>
        <v>2026년3월</v>
      </c>
      <c r="F38" s="11" cm="1">
        <f t="array" ref="F38">COUNTA(_xlfn.UNIQUE(_xlfn._xlws.FILTER(RAW!$G:$G,(RAW!$F:$F=E38)*(RAW!$I:$I="타이어"), "")))</f>
        <v>1</v>
      </c>
      <c r="G38" s="11">
        <f>SUMIFS(RAW!N:N,RAW!F:F,Dashboard!E38,RAW!I:I,"타이어")</f>
        <v>1980000.0000000002</v>
      </c>
      <c r="H38" s="11">
        <f>SUMIFS(RAW!P:P,RAW!F:F,Dashboard!E38,RAW!I:I,"타이어")</f>
        <v>0</v>
      </c>
      <c r="I38" s="11">
        <f t="shared" si="6"/>
        <v>1980000.0000000002</v>
      </c>
      <c r="Q38" s="19"/>
    </row>
    <row r="39" spans="2:17" ht="19" thickBo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2"/>
    </row>
  </sheetData>
  <mergeCells count="3">
    <mergeCell ref="C3:I4"/>
    <mergeCell ref="F24:G24"/>
    <mergeCell ref="F6:I6"/>
  </mergeCells>
  <phoneticPr fontId="2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BBE5FC-E480-1A47-8B34-D7A0D0534AD8}">
          <x14:formula1>
            <xm:f>_xlfn.ANCHORARRAY(Backdata!$A$2)</xm:f>
          </x14:formula1>
          <xm:sqref>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5ED5-E3D7-BE4D-9F0E-1A16DA991652}">
  <sheetPr filterMode="1"/>
  <dimension ref="B1:X694"/>
  <sheetViews>
    <sheetView showGridLines="0" tabSelected="1" workbookViewId="0">
      <pane xSplit="7" ySplit="4" topLeftCell="H89" activePane="bottomRight" state="frozen"/>
      <selection pane="topRight" activeCell="H1" sqref="H1"/>
      <selection pane="bottomLeft" activeCell="A5" sqref="A5"/>
      <selection pane="bottomRight" activeCell="H173" sqref="H173"/>
    </sheetView>
  </sheetViews>
  <sheetFormatPr baseColWidth="10" defaultColWidth="10.7109375" defaultRowHeight="18"/>
  <cols>
    <col min="1" max="1" width="5.140625" style="1" customWidth="1"/>
    <col min="2" max="2" width="8.28515625" style="1" bestFit="1" customWidth="1"/>
    <col min="3" max="3" width="11.140625" style="1" bestFit="1" customWidth="1"/>
    <col min="4" max="4" width="11.140625" style="1" hidden="1" customWidth="1"/>
    <col min="5" max="5" width="11.140625" style="1" customWidth="1"/>
    <col min="6" max="6" width="11.140625" style="1" hidden="1" customWidth="1"/>
    <col min="7" max="7" width="22" style="1" bestFit="1" customWidth="1"/>
    <col min="8" max="8" width="14.5703125" style="1" bestFit="1" customWidth="1"/>
    <col min="9" max="9" width="14.140625" style="1" bestFit="1" customWidth="1"/>
    <col min="10" max="12" width="10.7109375" style="1"/>
    <col min="13" max="13" width="11.7109375" style="1" bestFit="1" customWidth="1"/>
    <col min="14" max="14" width="10.7109375" style="1"/>
    <col min="15" max="15" width="11.7109375" style="1" bestFit="1" customWidth="1"/>
    <col min="16" max="16" width="12.7109375" style="1" bestFit="1" customWidth="1"/>
    <col min="17" max="17" width="13.42578125" style="1" bestFit="1" customWidth="1"/>
    <col min="18" max="21" width="10.7109375" style="1"/>
    <col min="22" max="22" width="0" style="1" hidden="1" customWidth="1"/>
    <col min="23" max="16384" width="10.7109375" style="1"/>
  </cols>
  <sheetData>
    <row r="1" spans="2:24">
      <c r="N1" s="4"/>
      <c r="O1" s="4"/>
      <c r="P1" s="4"/>
      <c r="Q1" s="4"/>
      <c r="R1" s="4"/>
    </row>
    <row r="2" spans="2:24">
      <c r="N2" s="4"/>
      <c r="O2" s="4"/>
      <c r="P2" s="4"/>
      <c r="Q2" s="4"/>
      <c r="R2" s="4"/>
    </row>
    <row r="4" spans="2:24">
      <c r="B4" s="1" t="s">
        <v>0</v>
      </c>
      <c r="C4" s="1" t="s">
        <v>1</v>
      </c>
      <c r="D4" s="1" t="s">
        <v>57</v>
      </c>
      <c r="E4" s="1" t="s">
        <v>56</v>
      </c>
      <c r="F4" s="1" t="s">
        <v>81</v>
      </c>
      <c r="G4" s="1" t="s">
        <v>14</v>
      </c>
      <c r="H4" s="1" t="s">
        <v>59</v>
      </c>
      <c r="I4" s="1" t="s">
        <v>2</v>
      </c>
      <c r="J4" s="1" t="s">
        <v>11</v>
      </c>
      <c r="K4" s="1" t="s">
        <v>3</v>
      </c>
      <c r="L4" s="1" t="s">
        <v>4</v>
      </c>
      <c r="M4" s="1" t="s">
        <v>15</v>
      </c>
      <c r="N4" s="1" t="s">
        <v>17</v>
      </c>
      <c r="O4" s="1" t="s">
        <v>16</v>
      </c>
      <c r="P4" s="1" t="s">
        <v>20</v>
      </c>
      <c r="Q4" s="1" t="s">
        <v>21</v>
      </c>
      <c r="R4" s="1" t="s">
        <v>64</v>
      </c>
      <c r="S4" s="1" t="s">
        <v>58</v>
      </c>
      <c r="T4" s="1" t="s">
        <v>5</v>
      </c>
      <c r="U4" s="1" t="s">
        <v>6</v>
      </c>
      <c r="V4" s="1" t="s">
        <v>7</v>
      </c>
      <c r="W4" s="1" t="s">
        <v>8</v>
      </c>
      <c r="X4" s="1" t="s">
        <v>299</v>
      </c>
    </row>
    <row r="5" spans="2:24" hidden="1">
      <c r="B5" s="1">
        <v>1</v>
      </c>
      <c r="C5" s="2">
        <v>45720</v>
      </c>
      <c r="D5" s="2" t="str">
        <f t="shared" ref="D5:D68" si="0">IF((C5=""),"",(YEAR(C5)&amp;"년"))</f>
        <v>2025년</v>
      </c>
      <c r="E5" s="1" t="str">
        <f t="shared" ref="E5:E68" si="1">IF((C5=""),"",(MONTH(C5)&amp;"월"))</f>
        <v>3월</v>
      </c>
      <c r="F5" s="1" t="str">
        <f t="shared" ref="F5:F68" si="2">CONCATENATE(D5,E5)</f>
        <v>2025년3월</v>
      </c>
      <c r="G5" s="1" t="s">
        <v>235</v>
      </c>
      <c r="H5" s="1" t="str">
        <f>IFERROR((VLOOKUP(G5,Backdata!G:H,2,0)),"")</f>
        <v>235-86-01235</v>
      </c>
      <c r="I5" s="1" t="s">
        <v>46</v>
      </c>
      <c r="J5" s="1" t="s">
        <v>131</v>
      </c>
      <c r="K5" s="1" t="s">
        <v>47</v>
      </c>
      <c r="L5" s="1">
        <v>1</v>
      </c>
      <c r="M5" s="5">
        <v>1450000</v>
      </c>
      <c r="N5" s="3">
        <f>M5*L5*1.1</f>
        <v>1595000.0000000002</v>
      </c>
      <c r="O5" s="5">
        <v>1000000</v>
      </c>
      <c r="P5" s="3">
        <f>O5*L5*1.1</f>
        <v>1100000</v>
      </c>
      <c r="Q5" s="3">
        <f t="shared" ref="Q5:Q68" si="3">N5-P5</f>
        <v>495000.00000000023</v>
      </c>
      <c r="R5" s="1" t="s">
        <v>19</v>
      </c>
      <c r="T5" s="27">
        <f t="shared" ref="T5:T36" si="4">IF(OR(I5="타이어",I5=""),"",C5)</f>
        <v>45720</v>
      </c>
      <c r="U5" s="1" t="str">
        <f t="shared" ref="U5:U68" si="5">IF(T5="","","완료")</f>
        <v>완료</v>
      </c>
    </row>
    <row r="6" spans="2:24">
      <c r="B6" s="1">
        <f t="shared" ref="B6:B69" si="6">B5+1</f>
        <v>2</v>
      </c>
      <c r="C6" s="2">
        <v>45733</v>
      </c>
      <c r="D6" s="2" t="str">
        <f t="shared" si="0"/>
        <v>2025년</v>
      </c>
      <c r="E6" s="1" t="str">
        <f t="shared" si="1"/>
        <v>3월</v>
      </c>
      <c r="F6" s="1" t="str">
        <f t="shared" si="2"/>
        <v>2025년3월</v>
      </c>
      <c r="G6" s="1" t="s">
        <v>272</v>
      </c>
      <c r="H6" s="1" t="str">
        <f>IFERROR((VLOOKUP(G6,Backdata!G:H,2,0)),"")</f>
        <v>119-85-35038</v>
      </c>
      <c r="I6" s="1" t="s">
        <v>124</v>
      </c>
      <c r="J6" s="1" t="s">
        <v>53</v>
      </c>
      <c r="K6" s="1" t="s">
        <v>31</v>
      </c>
      <c r="L6" s="1">
        <v>1</v>
      </c>
      <c r="M6" s="5">
        <v>3000000</v>
      </c>
      <c r="N6" s="3">
        <f t="shared" ref="N6:N69" si="7">M6*L6*1.1</f>
        <v>3300000.0000000005</v>
      </c>
      <c r="O6" s="5"/>
      <c r="P6" s="3">
        <f t="shared" ref="P6:P69" si="8">O6*L6*1.1</f>
        <v>0</v>
      </c>
      <c r="Q6" s="3">
        <f t="shared" si="3"/>
        <v>3300000.0000000005</v>
      </c>
      <c r="R6" s="1" t="s">
        <v>19</v>
      </c>
      <c r="T6" s="27">
        <f t="shared" si="4"/>
        <v>45733</v>
      </c>
      <c r="U6" s="1" t="str">
        <f t="shared" si="5"/>
        <v>완료</v>
      </c>
    </row>
    <row r="7" spans="2:24">
      <c r="B7" s="1">
        <f t="shared" si="6"/>
        <v>3</v>
      </c>
      <c r="C7" s="2">
        <v>45749</v>
      </c>
      <c r="D7" s="2" t="str">
        <f t="shared" si="0"/>
        <v>2025년</v>
      </c>
      <c r="E7" s="1" t="str">
        <f t="shared" si="1"/>
        <v>4월</v>
      </c>
      <c r="F7" s="1" t="str">
        <f t="shared" si="2"/>
        <v>2025년4월</v>
      </c>
      <c r="G7" s="1" t="s">
        <v>175</v>
      </c>
      <c r="H7" s="1" t="str">
        <f>IFERROR((VLOOKUP(G7,Backdata!G:H,2,0)),"")</f>
        <v>301-86-32786</v>
      </c>
      <c r="I7" s="1" t="s">
        <v>10</v>
      </c>
      <c r="J7" s="1" t="s">
        <v>12</v>
      </c>
      <c r="K7" s="1" t="s">
        <v>67</v>
      </c>
      <c r="L7" s="1">
        <v>2</v>
      </c>
      <c r="M7" s="5">
        <v>323000</v>
      </c>
      <c r="N7" s="3">
        <f t="shared" si="7"/>
        <v>710600</v>
      </c>
      <c r="O7" s="5">
        <v>270000</v>
      </c>
      <c r="P7" s="3">
        <f t="shared" si="8"/>
        <v>594000</v>
      </c>
      <c r="Q7" s="3">
        <f t="shared" si="3"/>
        <v>116600</v>
      </c>
      <c r="R7" s="1" t="s">
        <v>19</v>
      </c>
      <c r="T7" s="27" t="str">
        <f t="shared" si="4"/>
        <v/>
      </c>
      <c r="U7" s="1" t="str">
        <f t="shared" si="5"/>
        <v/>
      </c>
    </row>
    <row r="8" spans="2:24" hidden="1">
      <c r="B8" s="1">
        <f t="shared" si="6"/>
        <v>4</v>
      </c>
      <c r="C8" s="2">
        <v>45751</v>
      </c>
      <c r="D8" s="2" t="str">
        <f t="shared" si="0"/>
        <v>2025년</v>
      </c>
      <c r="E8" s="1" t="str">
        <f t="shared" si="1"/>
        <v>4월</v>
      </c>
      <c r="F8" s="1" t="str">
        <f t="shared" si="2"/>
        <v>2025년4월</v>
      </c>
      <c r="G8" s="1" t="s">
        <v>235</v>
      </c>
      <c r="H8" s="1" t="str">
        <f>IFERROR((VLOOKUP(G8,Backdata!G:H,2,0)),"")</f>
        <v>235-86-01235</v>
      </c>
      <c r="I8" s="1" t="s">
        <v>46</v>
      </c>
      <c r="J8" s="1" t="s">
        <v>131</v>
      </c>
      <c r="K8" s="1" t="s">
        <v>47</v>
      </c>
      <c r="L8" s="1">
        <v>1</v>
      </c>
      <c r="M8" s="5">
        <v>1450000</v>
      </c>
      <c r="N8" s="3">
        <f t="shared" si="7"/>
        <v>1595000.0000000002</v>
      </c>
      <c r="O8" s="5">
        <v>1000000</v>
      </c>
      <c r="P8" s="3">
        <f t="shared" si="8"/>
        <v>1100000</v>
      </c>
      <c r="Q8" s="3">
        <f t="shared" si="3"/>
        <v>495000.00000000023</v>
      </c>
      <c r="R8" s="1" t="s">
        <v>19</v>
      </c>
      <c r="T8" s="27">
        <f t="shared" si="4"/>
        <v>45751</v>
      </c>
      <c r="U8" s="1" t="str">
        <f t="shared" si="5"/>
        <v>완료</v>
      </c>
    </row>
    <row r="9" spans="2:24">
      <c r="B9" s="1">
        <f t="shared" si="6"/>
        <v>5</v>
      </c>
      <c r="C9" s="2">
        <v>45756</v>
      </c>
      <c r="D9" s="2" t="str">
        <f t="shared" si="0"/>
        <v>2025년</v>
      </c>
      <c r="E9" s="1" t="str">
        <f t="shared" si="1"/>
        <v>4월</v>
      </c>
      <c r="F9" s="1" t="str">
        <f t="shared" si="2"/>
        <v>2025년4월</v>
      </c>
      <c r="G9" s="1" t="s">
        <v>175</v>
      </c>
      <c r="H9" s="1" t="str">
        <f>IFERROR((VLOOKUP(G9,Backdata!G:H,2,0)),"")</f>
        <v>301-86-32786</v>
      </c>
      <c r="I9" s="1" t="s">
        <v>10</v>
      </c>
      <c r="J9" s="1" t="s">
        <v>60</v>
      </c>
      <c r="K9" s="1" t="s">
        <v>50</v>
      </c>
      <c r="L9" s="1">
        <v>6</v>
      </c>
      <c r="M9" s="5">
        <v>210000</v>
      </c>
      <c r="N9" s="3">
        <f t="shared" si="7"/>
        <v>1386000</v>
      </c>
      <c r="O9" s="5">
        <v>210000</v>
      </c>
      <c r="P9" s="3">
        <f t="shared" si="8"/>
        <v>1386000</v>
      </c>
      <c r="Q9" s="3">
        <f t="shared" si="3"/>
        <v>0</v>
      </c>
      <c r="R9" s="1" t="s">
        <v>19</v>
      </c>
      <c r="T9" s="27" t="str">
        <f t="shared" si="4"/>
        <v/>
      </c>
      <c r="U9" s="1" t="str">
        <f t="shared" si="5"/>
        <v/>
      </c>
    </row>
    <row r="10" spans="2:24">
      <c r="B10" s="1">
        <f t="shared" si="6"/>
        <v>6</v>
      </c>
      <c r="C10" s="2">
        <v>45756</v>
      </c>
      <c r="D10" s="2" t="str">
        <f t="shared" si="0"/>
        <v>2025년</v>
      </c>
      <c r="E10" s="1" t="str">
        <f t="shared" si="1"/>
        <v>4월</v>
      </c>
      <c r="F10" s="1" t="str">
        <f t="shared" si="2"/>
        <v>2025년4월</v>
      </c>
      <c r="G10" s="1" t="s">
        <v>175</v>
      </c>
      <c r="H10" s="1" t="str">
        <f>IFERROR((VLOOKUP(G10,Backdata!G:H,2,0)),"")</f>
        <v>301-86-32786</v>
      </c>
      <c r="I10" s="1" t="s">
        <v>10</v>
      </c>
      <c r="J10" s="1" t="s">
        <v>60</v>
      </c>
      <c r="K10" s="1" t="s">
        <v>50</v>
      </c>
      <c r="L10" s="1">
        <v>6</v>
      </c>
      <c r="M10" s="5">
        <v>13000</v>
      </c>
      <c r="N10" s="3">
        <f t="shared" si="7"/>
        <v>85800</v>
      </c>
      <c r="O10" s="5">
        <v>13000</v>
      </c>
      <c r="P10" s="3">
        <f t="shared" si="8"/>
        <v>85800</v>
      </c>
      <c r="Q10" s="3">
        <f t="shared" si="3"/>
        <v>0</v>
      </c>
      <c r="R10" s="1" t="s">
        <v>19</v>
      </c>
      <c r="T10" s="27" t="str">
        <f t="shared" si="4"/>
        <v/>
      </c>
      <c r="U10" s="1" t="str">
        <f t="shared" si="5"/>
        <v/>
      </c>
    </row>
    <row r="11" spans="2:24">
      <c r="B11" s="1">
        <f t="shared" si="6"/>
        <v>7</v>
      </c>
      <c r="C11" s="2">
        <v>45756</v>
      </c>
      <c r="D11" s="2" t="str">
        <f t="shared" si="0"/>
        <v>2025년</v>
      </c>
      <c r="E11" s="1" t="str">
        <f t="shared" si="1"/>
        <v>4월</v>
      </c>
      <c r="F11" s="1" t="str">
        <f t="shared" si="2"/>
        <v>2025년4월</v>
      </c>
      <c r="G11" s="1" t="s">
        <v>175</v>
      </c>
      <c r="H11" s="1" t="str">
        <f>IFERROR((VLOOKUP(G11,Backdata!G:H,2,0)),"")</f>
        <v>301-86-32786</v>
      </c>
      <c r="I11" s="1" t="s">
        <v>10</v>
      </c>
      <c r="J11" s="1" t="s">
        <v>60</v>
      </c>
      <c r="K11" s="1" t="s">
        <v>50</v>
      </c>
      <c r="L11" s="1">
        <v>6</v>
      </c>
      <c r="M11" s="5">
        <v>8000</v>
      </c>
      <c r="N11" s="3">
        <f t="shared" si="7"/>
        <v>52800.000000000007</v>
      </c>
      <c r="O11" s="5">
        <v>8000</v>
      </c>
      <c r="P11" s="3">
        <f t="shared" si="8"/>
        <v>52800.000000000007</v>
      </c>
      <c r="Q11" s="3">
        <f t="shared" si="3"/>
        <v>0</v>
      </c>
      <c r="R11" s="1" t="s">
        <v>19</v>
      </c>
      <c r="T11" s="27" t="str">
        <f t="shared" si="4"/>
        <v/>
      </c>
      <c r="U11" s="1" t="str">
        <f t="shared" si="5"/>
        <v/>
      </c>
    </row>
    <row r="12" spans="2:24" hidden="1">
      <c r="B12" s="1">
        <f t="shared" si="6"/>
        <v>8</v>
      </c>
      <c r="C12" s="2">
        <v>45757</v>
      </c>
      <c r="D12" s="2" t="str">
        <f t="shared" si="0"/>
        <v>2025년</v>
      </c>
      <c r="E12" s="1" t="str">
        <f t="shared" si="1"/>
        <v>4월</v>
      </c>
      <c r="F12" s="1" t="str">
        <f t="shared" si="2"/>
        <v>2025년4월</v>
      </c>
      <c r="G12" s="1" t="s">
        <v>224</v>
      </c>
      <c r="H12" s="1" t="str">
        <f>IFERROR((VLOOKUP(G12,Backdata!G:H,2,0)),"")</f>
        <v>318-81-11047</v>
      </c>
      <c r="I12" s="1" t="s">
        <v>46</v>
      </c>
      <c r="J12" s="1" t="s">
        <v>53</v>
      </c>
      <c r="K12" s="1" t="s">
        <v>31</v>
      </c>
      <c r="L12" s="1">
        <v>1</v>
      </c>
      <c r="M12" s="5">
        <v>630000</v>
      </c>
      <c r="N12" s="3">
        <f t="shared" si="7"/>
        <v>693000</v>
      </c>
      <c r="O12" s="5">
        <v>580000</v>
      </c>
      <c r="P12" s="3">
        <f t="shared" si="8"/>
        <v>638000</v>
      </c>
      <c r="Q12" s="3">
        <f t="shared" si="3"/>
        <v>55000</v>
      </c>
      <c r="R12" s="1" t="s">
        <v>19</v>
      </c>
      <c r="T12" s="27">
        <f t="shared" si="4"/>
        <v>45757</v>
      </c>
      <c r="U12" s="1" t="str">
        <f t="shared" si="5"/>
        <v>완료</v>
      </c>
    </row>
    <row r="13" spans="2:24">
      <c r="B13" s="1">
        <f t="shared" si="6"/>
        <v>9</v>
      </c>
      <c r="C13" s="2">
        <v>45758</v>
      </c>
      <c r="D13" s="2" t="str">
        <f t="shared" si="0"/>
        <v>2025년</v>
      </c>
      <c r="E13" s="1" t="str">
        <f t="shared" si="1"/>
        <v>4월</v>
      </c>
      <c r="F13" s="1" t="str">
        <f t="shared" si="2"/>
        <v>2025년4월</v>
      </c>
      <c r="G13" s="1" t="s">
        <v>203</v>
      </c>
      <c r="H13" s="1" t="str">
        <f>IFERROR((VLOOKUP(G13,Backdata!G:H,2,0)),"")</f>
        <v>508-03-62404</v>
      </c>
      <c r="I13" s="1" t="s">
        <v>10</v>
      </c>
      <c r="J13" s="1" t="s">
        <v>83</v>
      </c>
      <c r="K13" s="1" t="s">
        <v>22</v>
      </c>
      <c r="L13" s="1">
        <v>10</v>
      </c>
      <c r="M13" s="5">
        <v>99000</v>
      </c>
      <c r="N13" s="3">
        <f t="shared" si="7"/>
        <v>1089000</v>
      </c>
      <c r="O13" s="5">
        <v>85000</v>
      </c>
      <c r="P13" s="3">
        <f t="shared" si="8"/>
        <v>935000.00000000012</v>
      </c>
      <c r="Q13" s="3">
        <f t="shared" si="3"/>
        <v>153999.99999999988</v>
      </c>
      <c r="R13" s="1" t="s">
        <v>19</v>
      </c>
      <c r="T13" s="27" t="str">
        <f t="shared" si="4"/>
        <v/>
      </c>
      <c r="U13" s="1" t="str">
        <f t="shared" si="5"/>
        <v/>
      </c>
    </row>
    <row r="14" spans="2:24">
      <c r="B14" s="1">
        <f t="shared" si="6"/>
        <v>10</v>
      </c>
      <c r="C14" s="2">
        <v>45758</v>
      </c>
      <c r="D14" s="2" t="str">
        <f t="shared" si="0"/>
        <v>2025년</v>
      </c>
      <c r="E14" s="1" t="str">
        <f t="shared" si="1"/>
        <v>4월</v>
      </c>
      <c r="F14" s="1" t="str">
        <f t="shared" si="2"/>
        <v>2025년4월</v>
      </c>
      <c r="G14" s="1" t="s">
        <v>203</v>
      </c>
      <c r="H14" s="1" t="str">
        <f>IFERROR((VLOOKUP(G14,Backdata!G:H,2,0)),"")</f>
        <v>508-03-62404</v>
      </c>
      <c r="I14" s="1" t="s">
        <v>10</v>
      </c>
      <c r="J14" s="1" t="s">
        <v>83</v>
      </c>
      <c r="K14" s="1" t="s">
        <v>67</v>
      </c>
      <c r="L14" s="1">
        <v>4</v>
      </c>
      <c r="M14" s="5">
        <v>214000</v>
      </c>
      <c r="N14" s="3">
        <f t="shared" si="7"/>
        <v>941600.00000000012</v>
      </c>
      <c r="O14" s="5">
        <v>190000</v>
      </c>
      <c r="P14" s="3">
        <f t="shared" si="8"/>
        <v>836000.00000000012</v>
      </c>
      <c r="Q14" s="3">
        <f t="shared" si="3"/>
        <v>105600</v>
      </c>
      <c r="R14" s="1" t="s">
        <v>19</v>
      </c>
      <c r="T14" s="27" t="str">
        <f t="shared" si="4"/>
        <v/>
      </c>
      <c r="U14" s="1" t="str">
        <f t="shared" si="5"/>
        <v/>
      </c>
    </row>
    <row r="15" spans="2:24">
      <c r="B15" s="1">
        <f t="shared" si="6"/>
        <v>11</v>
      </c>
      <c r="C15" s="2">
        <v>45758</v>
      </c>
      <c r="D15" s="2" t="str">
        <f t="shared" si="0"/>
        <v>2025년</v>
      </c>
      <c r="E15" s="1" t="str">
        <f t="shared" si="1"/>
        <v>4월</v>
      </c>
      <c r="F15" s="1" t="str">
        <f t="shared" si="2"/>
        <v>2025년4월</v>
      </c>
      <c r="G15" s="1" t="s">
        <v>203</v>
      </c>
      <c r="H15" s="1" t="str">
        <f>IFERROR((VLOOKUP(G15,Backdata!G:H,2,0)),"")</f>
        <v>508-03-62404</v>
      </c>
      <c r="I15" s="1" t="s">
        <v>10</v>
      </c>
      <c r="J15" s="1" t="s">
        <v>35</v>
      </c>
      <c r="K15" s="1" t="s">
        <v>85</v>
      </c>
      <c r="L15" s="1">
        <v>4</v>
      </c>
      <c r="M15" s="5">
        <v>185000</v>
      </c>
      <c r="N15" s="3">
        <f t="shared" si="7"/>
        <v>814000.00000000012</v>
      </c>
      <c r="O15" s="5">
        <v>170000</v>
      </c>
      <c r="P15" s="3">
        <f t="shared" si="8"/>
        <v>748000.00000000012</v>
      </c>
      <c r="Q15" s="3">
        <f t="shared" si="3"/>
        <v>66000</v>
      </c>
      <c r="R15" s="1" t="s">
        <v>19</v>
      </c>
      <c r="T15" s="27" t="str">
        <f t="shared" si="4"/>
        <v/>
      </c>
      <c r="U15" s="1" t="str">
        <f t="shared" si="5"/>
        <v/>
      </c>
    </row>
    <row r="16" spans="2:24">
      <c r="B16" s="1">
        <f t="shared" si="6"/>
        <v>12</v>
      </c>
      <c r="C16" s="2">
        <v>45758</v>
      </c>
      <c r="D16" s="2" t="str">
        <f t="shared" si="0"/>
        <v>2025년</v>
      </c>
      <c r="E16" s="1" t="str">
        <f t="shared" si="1"/>
        <v>4월</v>
      </c>
      <c r="F16" s="1" t="str">
        <f t="shared" si="2"/>
        <v>2025년4월</v>
      </c>
      <c r="G16" s="1" t="s">
        <v>203</v>
      </c>
      <c r="H16" s="1" t="str">
        <f>IFERROR((VLOOKUP(G16,Backdata!G:H,2,0)),"")</f>
        <v>508-03-62404</v>
      </c>
      <c r="I16" s="1" t="s">
        <v>10</v>
      </c>
      <c r="J16" s="1" t="s">
        <v>35</v>
      </c>
      <c r="K16" s="1" t="s">
        <v>85</v>
      </c>
      <c r="L16" s="1">
        <v>4</v>
      </c>
      <c r="M16" s="5">
        <v>28000</v>
      </c>
      <c r="N16" s="3">
        <f t="shared" si="7"/>
        <v>123200.00000000001</v>
      </c>
      <c r="O16" s="5">
        <v>25000</v>
      </c>
      <c r="P16" s="3">
        <f t="shared" si="8"/>
        <v>110000.00000000001</v>
      </c>
      <c r="Q16" s="3">
        <f t="shared" si="3"/>
        <v>13200</v>
      </c>
      <c r="R16" s="1" t="s">
        <v>19</v>
      </c>
      <c r="T16" s="27" t="str">
        <f t="shared" si="4"/>
        <v/>
      </c>
      <c r="U16" s="1" t="str">
        <f t="shared" si="5"/>
        <v/>
      </c>
    </row>
    <row r="17" spans="2:21">
      <c r="B17" s="1">
        <f t="shared" si="6"/>
        <v>13</v>
      </c>
      <c r="C17" s="2">
        <v>45779</v>
      </c>
      <c r="D17" s="2" t="str">
        <f t="shared" si="0"/>
        <v>2025년</v>
      </c>
      <c r="E17" s="1" t="str">
        <f t="shared" si="1"/>
        <v>5월</v>
      </c>
      <c r="F17" s="1" t="str">
        <f t="shared" si="2"/>
        <v>2025년5월</v>
      </c>
      <c r="G17" s="1" t="s">
        <v>39</v>
      </c>
      <c r="H17" s="1" t="str">
        <f>IFERROR((VLOOKUP(G17,Backdata!G:H,2,0)),"")</f>
        <v>622-09-69331</v>
      </c>
      <c r="I17" s="1" t="s">
        <v>124</v>
      </c>
      <c r="J17" s="1" t="s">
        <v>53</v>
      </c>
      <c r="K17" s="1" t="s">
        <v>31</v>
      </c>
      <c r="L17" s="1">
        <v>6</v>
      </c>
      <c r="M17" s="5">
        <v>10000000</v>
      </c>
      <c r="N17" s="3">
        <f t="shared" si="7"/>
        <v>66000000.000000007</v>
      </c>
      <c r="O17" s="5">
        <v>8000000</v>
      </c>
      <c r="P17" s="3">
        <f t="shared" si="8"/>
        <v>52800000.000000007</v>
      </c>
      <c r="Q17" s="3">
        <f t="shared" si="3"/>
        <v>13200000</v>
      </c>
      <c r="R17" s="1" t="s">
        <v>19</v>
      </c>
      <c r="T17" s="27">
        <f t="shared" si="4"/>
        <v>45779</v>
      </c>
      <c r="U17" s="1" t="str">
        <f t="shared" si="5"/>
        <v>완료</v>
      </c>
    </row>
    <row r="18" spans="2:21" hidden="1">
      <c r="B18" s="1">
        <f t="shared" si="6"/>
        <v>14</v>
      </c>
      <c r="C18" s="2">
        <v>45784</v>
      </c>
      <c r="D18" s="2" t="str">
        <f t="shared" si="0"/>
        <v>2025년</v>
      </c>
      <c r="E18" s="1" t="str">
        <f t="shared" si="1"/>
        <v>5월</v>
      </c>
      <c r="F18" s="1" t="str">
        <f t="shared" si="2"/>
        <v>2025년5월</v>
      </c>
      <c r="G18" s="1" t="s">
        <v>224</v>
      </c>
      <c r="H18" s="1" t="str">
        <f>IFERROR((VLOOKUP(G18,Backdata!G:H,2,0)),"")</f>
        <v>318-81-11047</v>
      </c>
      <c r="I18" s="1" t="s">
        <v>46</v>
      </c>
      <c r="J18" s="1" t="s">
        <v>53</v>
      </c>
      <c r="K18" s="1" t="s">
        <v>52</v>
      </c>
      <c r="L18" s="1">
        <v>1</v>
      </c>
      <c r="M18" s="5">
        <v>630000</v>
      </c>
      <c r="N18" s="3">
        <f t="shared" si="7"/>
        <v>693000</v>
      </c>
      <c r="O18" s="5">
        <v>580000</v>
      </c>
      <c r="P18" s="3">
        <f t="shared" si="8"/>
        <v>638000</v>
      </c>
      <c r="Q18" s="3">
        <f t="shared" si="3"/>
        <v>55000</v>
      </c>
      <c r="R18" s="1" t="s">
        <v>19</v>
      </c>
      <c r="T18" s="27">
        <f t="shared" si="4"/>
        <v>45784</v>
      </c>
      <c r="U18" s="1" t="str">
        <f t="shared" si="5"/>
        <v>완료</v>
      </c>
    </row>
    <row r="19" spans="2:21" hidden="1">
      <c r="B19" s="1">
        <f t="shared" si="6"/>
        <v>15</v>
      </c>
      <c r="C19" s="2">
        <v>45784</v>
      </c>
      <c r="D19" s="2" t="str">
        <f t="shared" si="0"/>
        <v>2025년</v>
      </c>
      <c r="E19" s="1" t="str">
        <f t="shared" si="1"/>
        <v>5월</v>
      </c>
      <c r="F19" s="1" t="str">
        <f t="shared" si="2"/>
        <v>2025년5월</v>
      </c>
      <c r="G19" s="1" t="s">
        <v>235</v>
      </c>
      <c r="H19" s="1" t="str">
        <f>IFERROR((VLOOKUP(G19,Backdata!G:H,2,0)),"")</f>
        <v>235-86-01235</v>
      </c>
      <c r="I19" s="1" t="s">
        <v>46</v>
      </c>
      <c r="J19" s="1" t="s">
        <v>131</v>
      </c>
      <c r="K19" s="1" t="s">
        <v>47</v>
      </c>
      <c r="L19" s="1">
        <v>1</v>
      </c>
      <c r="M19" s="5">
        <v>1450000</v>
      </c>
      <c r="N19" s="3">
        <f t="shared" si="7"/>
        <v>1595000.0000000002</v>
      </c>
      <c r="O19" s="5">
        <v>1000000</v>
      </c>
      <c r="P19" s="3">
        <f t="shared" si="8"/>
        <v>1100000</v>
      </c>
      <c r="Q19" s="3">
        <f t="shared" si="3"/>
        <v>495000.00000000023</v>
      </c>
      <c r="R19" s="1" t="s">
        <v>19</v>
      </c>
      <c r="T19" s="27">
        <f t="shared" si="4"/>
        <v>45784</v>
      </c>
      <c r="U19" s="1" t="str">
        <f t="shared" si="5"/>
        <v>완료</v>
      </c>
    </row>
    <row r="20" spans="2:21">
      <c r="B20" s="1">
        <f t="shared" si="6"/>
        <v>16</v>
      </c>
      <c r="C20" s="2">
        <v>45790</v>
      </c>
      <c r="D20" s="2" t="str">
        <f t="shared" si="0"/>
        <v>2025년</v>
      </c>
      <c r="E20" s="1" t="str">
        <f t="shared" si="1"/>
        <v>5월</v>
      </c>
      <c r="F20" s="1" t="str">
        <f t="shared" si="2"/>
        <v>2025년5월</v>
      </c>
      <c r="G20" s="1" t="s">
        <v>82</v>
      </c>
      <c r="H20" s="1" t="str">
        <f>IFERROR((VLOOKUP(G20,Backdata!G:H,2,0)),"")</f>
        <v>508-03-62404</v>
      </c>
      <c r="I20" s="1" t="s">
        <v>9</v>
      </c>
      <c r="J20" s="1" t="s">
        <v>83</v>
      </c>
      <c r="K20" s="1" t="s">
        <v>67</v>
      </c>
      <c r="L20" s="1">
        <v>2</v>
      </c>
      <c r="M20" s="5">
        <v>214000</v>
      </c>
      <c r="N20" s="3">
        <f t="shared" si="7"/>
        <v>470800.00000000006</v>
      </c>
      <c r="O20" s="5">
        <v>190000</v>
      </c>
      <c r="P20" s="3">
        <f t="shared" si="8"/>
        <v>418000.00000000006</v>
      </c>
      <c r="Q20" s="3">
        <f t="shared" si="3"/>
        <v>52800</v>
      </c>
      <c r="R20" s="1" t="s">
        <v>19</v>
      </c>
      <c r="T20" s="27" t="str">
        <f t="shared" si="4"/>
        <v/>
      </c>
      <c r="U20" s="1" t="str">
        <f t="shared" si="5"/>
        <v/>
      </c>
    </row>
    <row r="21" spans="2:21">
      <c r="B21" s="1">
        <f t="shared" si="6"/>
        <v>17</v>
      </c>
      <c r="C21" s="2">
        <v>45790</v>
      </c>
      <c r="D21" s="2" t="str">
        <f t="shared" si="0"/>
        <v>2025년</v>
      </c>
      <c r="E21" s="1" t="str">
        <f t="shared" si="1"/>
        <v>5월</v>
      </c>
      <c r="F21" s="1" t="str">
        <f t="shared" si="2"/>
        <v>2025년5월</v>
      </c>
      <c r="G21" s="1" t="s">
        <v>82</v>
      </c>
      <c r="H21" s="1" t="str">
        <f>IFERROR((VLOOKUP(G21,Backdata!G:H,2,0)),"")</f>
        <v>508-03-62404</v>
      </c>
      <c r="I21" s="1" t="s">
        <v>9</v>
      </c>
      <c r="J21" s="1" t="s">
        <v>83</v>
      </c>
      <c r="K21" s="1" t="s">
        <v>22</v>
      </c>
      <c r="L21" s="1">
        <v>2</v>
      </c>
      <c r="M21" s="5">
        <v>99000</v>
      </c>
      <c r="N21" s="3">
        <f t="shared" si="7"/>
        <v>217800.00000000003</v>
      </c>
      <c r="O21" s="5">
        <v>85000</v>
      </c>
      <c r="P21" s="3">
        <f t="shared" si="8"/>
        <v>187000.00000000003</v>
      </c>
      <c r="Q21" s="3">
        <f t="shared" si="3"/>
        <v>30800</v>
      </c>
      <c r="R21" s="1" t="s">
        <v>19</v>
      </c>
      <c r="T21" s="27" t="str">
        <f t="shared" si="4"/>
        <v/>
      </c>
      <c r="U21" s="1" t="str">
        <f t="shared" si="5"/>
        <v/>
      </c>
    </row>
    <row r="22" spans="2:21">
      <c r="B22" s="1">
        <f t="shared" si="6"/>
        <v>18</v>
      </c>
      <c r="C22" s="2">
        <v>45790</v>
      </c>
      <c r="D22" s="2" t="str">
        <f t="shared" si="0"/>
        <v>2025년</v>
      </c>
      <c r="E22" s="1" t="str">
        <f t="shared" si="1"/>
        <v>5월</v>
      </c>
      <c r="F22" s="1" t="str">
        <f t="shared" si="2"/>
        <v>2025년5월</v>
      </c>
      <c r="G22" s="1" t="s">
        <v>82</v>
      </c>
      <c r="H22" s="1" t="str">
        <f>IFERROR((VLOOKUP(G22,Backdata!G:H,2,0)),"")</f>
        <v>508-03-62404</v>
      </c>
      <c r="I22" s="1" t="s">
        <v>9</v>
      </c>
      <c r="J22" s="1" t="s">
        <v>84</v>
      </c>
      <c r="K22" s="1" t="s">
        <v>67</v>
      </c>
      <c r="L22" s="1">
        <v>13</v>
      </c>
      <c r="M22" s="5">
        <v>16000</v>
      </c>
      <c r="N22" s="3">
        <f t="shared" si="7"/>
        <v>228800.00000000003</v>
      </c>
      <c r="O22" s="5">
        <v>13000</v>
      </c>
      <c r="P22" s="3">
        <f t="shared" si="8"/>
        <v>185900.00000000003</v>
      </c>
      <c r="Q22" s="3">
        <f t="shared" si="3"/>
        <v>42900</v>
      </c>
      <c r="R22" s="1" t="s">
        <v>19</v>
      </c>
      <c r="T22" s="27" t="str">
        <f t="shared" si="4"/>
        <v/>
      </c>
      <c r="U22" s="1" t="str">
        <f t="shared" si="5"/>
        <v/>
      </c>
    </row>
    <row r="23" spans="2:21">
      <c r="B23" s="1">
        <f t="shared" si="6"/>
        <v>19</v>
      </c>
      <c r="C23" s="2">
        <v>45790</v>
      </c>
      <c r="D23" s="2" t="str">
        <f t="shared" si="0"/>
        <v>2025년</v>
      </c>
      <c r="E23" s="1" t="str">
        <f t="shared" si="1"/>
        <v>5월</v>
      </c>
      <c r="F23" s="1" t="str">
        <f t="shared" si="2"/>
        <v>2025년5월</v>
      </c>
      <c r="G23" s="1" t="s">
        <v>203</v>
      </c>
      <c r="H23" s="1" t="str">
        <f>IFERROR((VLOOKUP(G23,Backdata!G:H,2,0)),"")</f>
        <v>508-03-62404</v>
      </c>
      <c r="I23" s="1" t="s">
        <v>9</v>
      </c>
      <c r="J23" s="1" t="s">
        <v>35</v>
      </c>
      <c r="K23" s="1" t="s">
        <v>85</v>
      </c>
      <c r="L23" s="1">
        <v>4</v>
      </c>
      <c r="M23" s="5">
        <v>185000</v>
      </c>
      <c r="N23" s="3">
        <f t="shared" si="7"/>
        <v>814000.00000000012</v>
      </c>
      <c r="O23" s="5">
        <v>170000</v>
      </c>
      <c r="P23" s="3">
        <f t="shared" si="8"/>
        <v>748000.00000000012</v>
      </c>
      <c r="Q23" s="3">
        <f t="shared" si="3"/>
        <v>66000</v>
      </c>
      <c r="R23" s="1" t="s">
        <v>19</v>
      </c>
      <c r="T23" s="27" t="str">
        <f t="shared" si="4"/>
        <v/>
      </c>
      <c r="U23" s="1" t="str">
        <f t="shared" si="5"/>
        <v/>
      </c>
    </row>
    <row r="24" spans="2:21">
      <c r="B24" s="1">
        <f t="shared" si="6"/>
        <v>20</v>
      </c>
      <c r="C24" s="2">
        <v>45790</v>
      </c>
      <c r="D24" s="2" t="str">
        <f t="shared" si="0"/>
        <v>2025년</v>
      </c>
      <c r="E24" s="1" t="str">
        <f t="shared" si="1"/>
        <v>5월</v>
      </c>
      <c r="F24" s="1" t="str">
        <f t="shared" si="2"/>
        <v>2025년5월</v>
      </c>
      <c r="G24" s="1" t="s">
        <v>175</v>
      </c>
      <c r="H24" s="1" t="str">
        <f>IFERROR((VLOOKUP(G24,Backdata!G:H,2,0)),"")</f>
        <v>301-86-32786</v>
      </c>
      <c r="I24" s="1" t="s">
        <v>9</v>
      </c>
      <c r="J24" s="1" t="s">
        <v>12</v>
      </c>
      <c r="K24" s="1" t="s">
        <v>87</v>
      </c>
      <c r="L24" s="1">
        <v>1</v>
      </c>
      <c r="M24" s="5">
        <v>1000000</v>
      </c>
      <c r="N24" s="3">
        <f t="shared" si="7"/>
        <v>1100000</v>
      </c>
      <c r="O24" s="5">
        <v>620000</v>
      </c>
      <c r="P24" s="3">
        <f t="shared" si="8"/>
        <v>682000</v>
      </c>
      <c r="Q24" s="3">
        <f t="shared" si="3"/>
        <v>418000</v>
      </c>
      <c r="R24" s="1" t="s">
        <v>19</v>
      </c>
      <c r="T24" s="27" t="str">
        <f t="shared" si="4"/>
        <v/>
      </c>
      <c r="U24" s="1" t="str">
        <f t="shared" si="5"/>
        <v/>
      </c>
    </row>
    <row r="25" spans="2:21">
      <c r="B25" s="1">
        <f t="shared" si="6"/>
        <v>21</v>
      </c>
      <c r="C25" s="2">
        <v>45792</v>
      </c>
      <c r="D25" s="2" t="str">
        <f t="shared" si="0"/>
        <v>2025년</v>
      </c>
      <c r="E25" s="1" t="str">
        <f t="shared" si="1"/>
        <v>5월</v>
      </c>
      <c r="F25" s="1" t="str">
        <f t="shared" si="2"/>
        <v>2025년5월</v>
      </c>
      <c r="G25" s="1" t="s">
        <v>175</v>
      </c>
      <c r="H25" s="1" t="str">
        <f>IFERROR((VLOOKUP(G25,Backdata!G:H,2,0)),"")</f>
        <v>301-86-32786</v>
      </c>
      <c r="I25" s="1" t="s">
        <v>9</v>
      </c>
      <c r="J25" s="1" t="s">
        <v>12</v>
      </c>
      <c r="K25" s="1" t="s">
        <v>87</v>
      </c>
      <c r="L25" s="1">
        <v>6</v>
      </c>
      <c r="M25" s="5">
        <v>800000</v>
      </c>
      <c r="N25" s="3">
        <f t="shared" si="7"/>
        <v>5280000</v>
      </c>
      <c r="O25" s="5">
        <v>620000</v>
      </c>
      <c r="P25" s="3">
        <f t="shared" si="8"/>
        <v>4092000.0000000005</v>
      </c>
      <c r="Q25" s="3">
        <f t="shared" si="3"/>
        <v>1187999.9999999995</v>
      </c>
      <c r="R25" s="1" t="s">
        <v>19</v>
      </c>
      <c r="T25" s="27" t="str">
        <f t="shared" si="4"/>
        <v/>
      </c>
      <c r="U25" s="1" t="str">
        <f t="shared" si="5"/>
        <v/>
      </c>
    </row>
    <row r="26" spans="2:21">
      <c r="B26" s="1">
        <f t="shared" si="6"/>
        <v>22</v>
      </c>
      <c r="C26" s="2">
        <v>45792</v>
      </c>
      <c r="D26" s="2" t="str">
        <f t="shared" si="0"/>
        <v>2025년</v>
      </c>
      <c r="E26" s="1" t="str">
        <f t="shared" si="1"/>
        <v>5월</v>
      </c>
      <c r="F26" s="1" t="str">
        <f t="shared" si="2"/>
        <v>2025년5월</v>
      </c>
      <c r="G26" s="1" t="s">
        <v>175</v>
      </c>
      <c r="H26" s="1" t="str">
        <f>IFERROR((VLOOKUP(G26,Backdata!G:H,2,0)),"")</f>
        <v>301-86-32786</v>
      </c>
      <c r="I26" s="1" t="s">
        <v>9</v>
      </c>
      <c r="J26" s="1" t="s">
        <v>86</v>
      </c>
      <c r="K26" s="1" t="s">
        <v>50</v>
      </c>
      <c r="L26" s="1">
        <v>4</v>
      </c>
      <c r="M26" s="5">
        <v>600000</v>
      </c>
      <c r="N26" s="3">
        <f t="shared" si="7"/>
        <v>2640000</v>
      </c>
      <c r="O26" s="5">
        <v>550000</v>
      </c>
      <c r="P26" s="3">
        <f t="shared" si="8"/>
        <v>2420000</v>
      </c>
      <c r="Q26" s="3">
        <f t="shared" si="3"/>
        <v>220000</v>
      </c>
      <c r="R26" s="1" t="s">
        <v>19</v>
      </c>
      <c r="T26" s="27" t="str">
        <f t="shared" si="4"/>
        <v/>
      </c>
      <c r="U26" s="1" t="str">
        <f t="shared" si="5"/>
        <v/>
      </c>
    </row>
    <row r="27" spans="2:21">
      <c r="B27" s="1">
        <f t="shared" si="6"/>
        <v>23</v>
      </c>
      <c r="C27" s="2">
        <v>45792</v>
      </c>
      <c r="D27" s="2" t="str">
        <f t="shared" si="0"/>
        <v>2025년</v>
      </c>
      <c r="E27" s="1" t="str">
        <f t="shared" si="1"/>
        <v>5월</v>
      </c>
      <c r="F27" s="1" t="str">
        <f t="shared" si="2"/>
        <v>2025년5월</v>
      </c>
      <c r="G27" s="1" t="s">
        <v>175</v>
      </c>
      <c r="H27" s="1" t="str">
        <f>IFERROR((VLOOKUP(G27,Backdata!G:H,2,0)),"")</f>
        <v>301-86-32786</v>
      </c>
      <c r="I27" s="1" t="s">
        <v>9</v>
      </c>
      <c r="J27" s="1" t="s">
        <v>86</v>
      </c>
      <c r="K27" s="1" t="s">
        <v>23</v>
      </c>
      <c r="L27" s="1">
        <v>2</v>
      </c>
      <c r="M27" s="5">
        <v>400000</v>
      </c>
      <c r="N27" s="3">
        <f t="shared" si="7"/>
        <v>880000.00000000012</v>
      </c>
      <c r="O27" s="5">
        <v>370000</v>
      </c>
      <c r="P27" s="3">
        <f t="shared" si="8"/>
        <v>814000.00000000012</v>
      </c>
      <c r="Q27" s="3">
        <f t="shared" si="3"/>
        <v>66000</v>
      </c>
      <c r="R27" s="1" t="s">
        <v>19</v>
      </c>
      <c r="T27" s="27" t="str">
        <f t="shared" si="4"/>
        <v/>
      </c>
      <c r="U27" s="1" t="str">
        <f t="shared" si="5"/>
        <v/>
      </c>
    </row>
    <row r="28" spans="2:21">
      <c r="B28" s="1">
        <f t="shared" si="6"/>
        <v>24</v>
      </c>
      <c r="C28" s="2">
        <v>45792</v>
      </c>
      <c r="D28" s="2" t="str">
        <f t="shared" si="0"/>
        <v>2025년</v>
      </c>
      <c r="E28" s="1" t="str">
        <f t="shared" si="1"/>
        <v>5월</v>
      </c>
      <c r="F28" s="1" t="str">
        <f t="shared" si="2"/>
        <v>2025년5월</v>
      </c>
      <c r="G28" s="1" t="s">
        <v>175</v>
      </c>
      <c r="H28" s="1" t="str">
        <f>IFERROR((VLOOKUP(G28,Backdata!G:H,2,0)),"")</f>
        <v>301-86-32786</v>
      </c>
      <c r="I28" s="1" t="s">
        <v>9</v>
      </c>
      <c r="J28" s="1" t="s">
        <v>54</v>
      </c>
      <c r="K28" s="1" t="s">
        <v>87</v>
      </c>
      <c r="L28" s="1">
        <v>1</v>
      </c>
      <c r="M28" s="5">
        <v>250000</v>
      </c>
      <c r="N28" s="3">
        <f t="shared" si="7"/>
        <v>275000</v>
      </c>
      <c r="O28" s="5">
        <v>230000</v>
      </c>
      <c r="P28" s="3">
        <f t="shared" si="8"/>
        <v>253000.00000000003</v>
      </c>
      <c r="Q28" s="3">
        <f t="shared" si="3"/>
        <v>21999.999999999971</v>
      </c>
      <c r="R28" s="1" t="s">
        <v>19</v>
      </c>
      <c r="T28" s="27" t="str">
        <f t="shared" si="4"/>
        <v/>
      </c>
      <c r="U28" s="1" t="str">
        <f t="shared" si="5"/>
        <v/>
      </c>
    </row>
    <row r="29" spans="2:21">
      <c r="B29" s="1">
        <f t="shared" si="6"/>
        <v>25</v>
      </c>
      <c r="C29" s="2">
        <v>45793</v>
      </c>
      <c r="D29" s="2" t="str">
        <f t="shared" si="0"/>
        <v>2025년</v>
      </c>
      <c r="E29" s="1" t="str">
        <f t="shared" si="1"/>
        <v>5월</v>
      </c>
      <c r="F29" s="1" t="str">
        <f t="shared" si="2"/>
        <v>2025년5월</v>
      </c>
      <c r="G29" s="1" t="s">
        <v>289</v>
      </c>
      <c r="H29" s="1" t="str">
        <f>IFERROR((VLOOKUP(G29,Backdata!G:H,2,0)),"")</f>
        <v>428-86-01083</v>
      </c>
      <c r="I29" s="1" t="s">
        <v>124</v>
      </c>
      <c r="J29" s="1" t="s">
        <v>30</v>
      </c>
      <c r="K29" s="1" t="s">
        <v>31</v>
      </c>
      <c r="L29" s="1">
        <v>2</v>
      </c>
      <c r="M29" s="5">
        <v>1000000</v>
      </c>
      <c r="N29" s="3">
        <f t="shared" si="7"/>
        <v>2200000</v>
      </c>
      <c r="O29" s="5"/>
      <c r="P29" s="3">
        <f t="shared" si="8"/>
        <v>0</v>
      </c>
      <c r="Q29" s="3">
        <f t="shared" si="3"/>
        <v>2200000</v>
      </c>
      <c r="R29" s="1" t="s">
        <v>19</v>
      </c>
      <c r="T29" s="27">
        <f t="shared" si="4"/>
        <v>45793</v>
      </c>
      <c r="U29" s="1" t="str">
        <f t="shared" si="5"/>
        <v>완료</v>
      </c>
    </row>
    <row r="30" spans="2:21" hidden="1">
      <c r="B30" s="1">
        <f t="shared" si="6"/>
        <v>26</v>
      </c>
      <c r="C30" s="2">
        <v>45793</v>
      </c>
      <c r="D30" s="2" t="str">
        <f t="shared" si="0"/>
        <v>2025년</v>
      </c>
      <c r="E30" s="1" t="str">
        <f t="shared" si="1"/>
        <v>5월</v>
      </c>
      <c r="F30" s="1" t="str">
        <f t="shared" si="2"/>
        <v>2025년5월</v>
      </c>
      <c r="G30" s="1" t="s">
        <v>235</v>
      </c>
      <c r="H30" s="1" t="str">
        <f>IFERROR((VLOOKUP(G30,Backdata!G:H,2,0)),"")</f>
        <v>235-86-01235</v>
      </c>
      <c r="I30" s="1" t="s">
        <v>46</v>
      </c>
      <c r="J30" s="1" t="s">
        <v>30</v>
      </c>
      <c r="K30" s="1" t="s">
        <v>31</v>
      </c>
      <c r="L30" s="1">
        <v>2</v>
      </c>
      <c r="M30" s="5">
        <v>1100000</v>
      </c>
      <c r="N30" s="3">
        <f t="shared" si="7"/>
        <v>2420000</v>
      </c>
      <c r="O30" s="5">
        <v>800000</v>
      </c>
      <c r="P30" s="3">
        <f t="shared" si="8"/>
        <v>1760000.0000000002</v>
      </c>
      <c r="Q30" s="3">
        <f t="shared" si="3"/>
        <v>659999.99999999977</v>
      </c>
      <c r="R30" s="1" t="s">
        <v>19</v>
      </c>
      <c r="T30" s="27">
        <f t="shared" si="4"/>
        <v>45793</v>
      </c>
      <c r="U30" s="1" t="str">
        <f t="shared" si="5"/>
        <v>완료</v>
      </c>
    </row>
    <row r="31" spans="2:21">
      <c r="B31" s="1">
        <f t="shared" si="6"/>
        <v>27</v>
      </c>
      <c r="C31" s="2">
        <v>45797</v>
      </c>
      <c r="D31" s="2" t="str">
        <f t="shared" si="0"/>
        <v>2025년</v>
      </c>
      <c r="E31" s="1" t="str">
        <f t="shared" si="1"/>
        <v>5월</v>
      </c>
      <c r="F31" s="1" t="str">
        <f t="shared" si="2"/>
        <v>2025년5월</v>
      </c>
      <c r="G31" s="1" t="s">
        <v>88</v>
      </c>
      <c r="H31" s="1" t="str">
        <f>IFERROR((VLOOKUP(G31,Backdata!G:H,2,0)),"")</f>
        <v>126-81-12016</v>
      </c>
      <c r="I31" s="1" t="s">
        <v>9</v>
      </c>
      <c r="J31" s="1" t="s">
        <v>12</v>
      </c>
      <c r="K31" s="1" t="s">
        <v>51</v>
      </c>
      <c r="L31" s="1">
        <v>2</v>
      </c>
      <c r="M31" s="5">
        <v>175000</v>
      </c>
      <c r="N31" s="3">
        <f t="shared" si="7"/>
        <v>385000.00000000006</v>
      </c>
      <c r="O31" s="5">
        <v>160000</v>
      </c>
      <c r="P31" s="3">
        <f t="shared" si="8"/>
        <v>352000</v>
      </c>
      <c r="Q31" s="3">
        <f t="shared" si="3"/>
        <v>33000.000000000058</v>
      </c>
      <c r="R31" s="1" t="s">
        <v>19</v>
      </c>
      <c r="T31" s="27" t="str">
        <f t="shared" si="4"/>
        <v/>
      </c>
      <c r="U31" s="1" t="str">
        <f t="shared" si="5"/>
        <v/>
      </c>
    </row>
    <row r="32" spans="2:21">
      <c r="B32" s="1">
        <f t="shared" si="6"/>
        <v>28</v>
      </c>
      <c r="C32" s="2">
        <v>45797</v>
      </c>
      <c r="D32" s="2" t="str">
        <f t="shared" si="0"/>
        <v>2025년</v>
      </c>
      <c r="E32" s="1" t="str">
        <f t="shared" si="1"/>
        <v>5월</v>
      </c>
      <c r="F32" s="1" t="str">
        <f t="shared" si="2"/>
        <v>2025년5월</v>
      </c>
      <c r="G32" s="1" t="s">
        <v>88</v>
      </c>
      <c r="H32" s="1" t="str">
        <f>IFERROR((VLOOKUP(G32,Backdata!G:H,2,0)),"")</f>
        <v>126-81-12016</v>
      </c>
      <c r="I32" s="1" t="s">
        <v>9</v>
      </c>
      <c r="J32" s="1" t="s">
        <v>12</v>
      </c>
      <c r="K32" s="1" t="s">
        <v>48</v>
      </c>
      <c r="L32" s="1">
        <v>2</v>
      </c>
      <c r="M32" s="5">
        <v>113000</v>
      </c>
      <c r="N32" s="3">
        <f t="shared" si="7"/>
        <v>248600.00000000003</v>
      </c>
      <c r="O32" s="5">
        <v>100000</v>
      </c>
      <c r="P32" s="3">
        <f t="shared" si="8"/>
        <v>220000.00000000003</v>
      </c>
      <c r="Q32" s="3">
        <f t="shared" si="3"/>
        <v>28600</v>
      </c>
      <c r="R32" s="1" t="s">
        <v>19</v>
      </c>
      <c r="T32" s="27" t="str">
        <f t="shared" si="4"/>
        <v/>
      </c>
      <c r="U32" s="1" t="str">
        <f t="shared" si="5"/>
        <v/>
      </c>
    </row>
    <row r="33" spans="2:21">
      <c r="B33" s="1">
        <f t="shared" si="6"/>
        <v>29</v>
      </c>
      <c r="C33" s="2">
        <v>45799</v>
      </c>
      <c r="D33" s="2" t="str">
        <f t="shared" si="0"/>
        <v>2025년</v>
      </c>
      <c r="E33" s="1" t="str">
        <f t="shared" si="1"/>
        <v>5월</v>
      </c>
      <c r="F33" s="1" t="str">
        <f t="shared" si="2"/>
        <v>2025년5월</v>
      </c>
      <c r="G33" s="1" t="s">
        <v>175</v>
      </c>
      <c r="H33" s="1" t="str">
        <f>IFERROR((VLOOKUP(G33,Backdata!G:H,2,0)),"")</f>
        <v>301-86-32786</v>
      </c>
      <c r="I33" s="1" t="s">
        <v>9</v>
      </c>
      <c r="J33" s="1" t="s">
        <v>12</v>
      </c>
      <c r="K33" s="1" t="s">
        <v>67</v>
      </c>
      <c r="L33" s="1">
        <v>2</v>
      </c>
      <c r="M33" s="5">
        <v>310000</v>
      </c>
      <c r="N33" s="3">
        <f t="shared" si="7"/>
        <v>682000</v>
      </c>
      <c r="O33" s="5">
        <v>270000</v>
      </c>
      <c r="P33" s="3">
        <f t="shared" si="8"/>
        <v>594000</v>
      </c>
      <c r="Q33" s="3">
        <f t="shared" si="3"/>
        <v>88000</v>
      </c>
      <c r="R33" s="1" t="s">
        <v>19</v>
      </c>
      <c r="T33" s="27" t="str">
        <f t="shared" si="4"/>
        <v/>
      </c>
      <c r="U33" s="1" t="str">
        <f t="shared" si="5"/>
        <v/>
      </c>
    </row>
    <row r="34" spans="2:21">
      <c r="B34" s="1">
        <f t="shared" si="6"/>
        <v>30</v>
      </c>
      <c r="C34" s="2">
        <v>45799</v>
      </c>
      <c r="D34" s="2" t="str">
        <f t="shared" si="0"/>
        <v>2025년</v>
      </c>
      <c r="E34" s="1" t="str">
        <f t="shared" si="1"/>
        <v>5월</v>
      </c>
      <c r="F34" s="1" t="str">
        <f t="shared" si="2"/>
        <v>2025년5월</v>
      </c>
      <c r="G34" s="1" t="s">
        <v>289</v>
      </c>
      <c r="H34" s="1" t="str">
        <f>IFERROR((VLOOKUP(G34,Backdata!G:H,2,0)),"")</f>
        <v>428-86-01083</v>
      </c>
      <c r="I34" s="1" t="s">
        <v>9</v>
      </c>
      <c r="J34" s="1" t="s">
        <v>12</v>
      </c>
      <c r="K34" s="1" t="s">
        <v>22</v>
      </c>
      <c r="L34" s="1">
        <v>8</v>
      </c>
      <c r="M34" s="5">
        <v>200000</v>
      </c>
      <c r="N34" s="3">
        <f t="shared" si="7"/>
        <v>1760000.0000000002</v>
      </c>
      <c r="O34" s="5">
        <v>160000</v>
      </c>
      <c r="P34" s="3">
        <f t="shared" si="8"/>
        <v>1408000</v>
      </c>
      <c r="Q34" s="3">
        <f t="shared" si="3"/>
        <v>352000.00000000023</v>
      </c>
      <c r="R34" s="1" t="s">
        <v>19</v>
      </c>
      <c r="T34" s="27" t="str">
        <f t="shared" si="4"/>
        <v/>
      </c>
      <c r="U34" s="1" t="str">
        <f t="shared" si="5"/>
        <v/>
      </c>
    </row>
    <row r="35" spans="2:21">
      <c r="B35" s="1">
        <f t="shared" si="6"/>
        <v>31</v>
      </c>
      <c r="C35" s="2">
        <v>45799</v>
      </c>
      <c r="D35" s="2" t="str">
        <f t="shared" si="0"/>
        <v>2025년</v>
      </c>
      <c r="E35" s="1" t="str">
        <f t="shared" si="1"/>
        <v>5월</v>
      </c>
      <c r="F35" s="1" t="str">
        <f t="shared" si="2"/>
        <v>2025년5월</v>
      </c>
      <c r="G35" s="1" t="s">
        <v>289</v>
      </c>
      <c r="H35" s="1" t="str">
        <f>IFERROR((VLOOKUP(G35,Backdata!G:H,2,0)),"")</f>
        <v>428-86-01083</v>
      </c>
      <c r="I35" s="1" t="s">
        <v>9</v>
      </c>
      <c r="J35" s="1" t="s">
        <v>60</v>
      </c>
      <c r="K35" s="1" t="s">
        <v>67</v>
      </c>
      <c r="L35" s="1">
        <v>2</v>
      </c>
      <c r="M35" s="5">
        <v>250000</v>
      </c>
      <c r="N35" s="3">
        <f t="shared" si="7"/>
        <v>550000</v>
      </c>
      <c r="O35" s="5">
        <v>225000</v>
      </c>
      <c r="P35" s="3">
        <f t="shared" si="8"/>
        <v>495000.00000000006</v>
      </c>
      <c r="Q35" s="3">
        <f t="shared" si="3"/>
        <v>54999.999999999942</v>
      </c>
      <c r="R35" s="1" t="s">
        <v>19</v>
      </c>
      <c r="T35" s="27" t="str">
        <f t="shared" si="4"/>
        <v/>
      </c>
      <c r="U35" s="1" t="str">
        <f t="shared" si="5"/>
        <v/>
      </c>
    </row>
    <row r="36" spans="2:21">
      <c r="B36" s="1">
        <f t="shared" si="6"/>
        <v>32</v>
      </c>
      <c r="C36" s="2">
        <v>45799</v>
      </c>
      <c r="D36" s="2" t="str">
        <f t="shared" si="0"/>
        <v>2025년</v>
      </c>
      <c r="E36" s="1" t="str">
        <f t="shared" si="1"/>
        <v>5월</v>
      </c>
      <c r="F36" s="1" t="str">
        <f t="shared" si="2"/>
        <v>2025년5월</v>
      </c>
      <c r="G36" s="1" t="s">
        <v>289</v>
      </c>
      <c r="H36" s="1" t="str">
        <f>IFERROR((VLOOKUP(G36,Backdata!G:H,2,0)),"")</f>
        <v>428-86-01083</v>
      </c>
      <c r="I36" s="1" t="s">
        <v>9</v>
      </c>
      <c r="J36" s="1" t="s">
        <v>60</v>
      </c>
      <c r="K36" s="1" t="s">
        <v>100</v>
      </c>
      <c r="L36" s="1">
        <v>4</v>
      </c>
      <c r="M36" s="5">
        <v>235000</v>
      </c>
      <c r="N36" s="3">
        <f t="shared" si="7"/>
        <v>1034000.0000000001</v>
      </c>
      <c r="O36" s="5">
        <v>220000</v>
      </c>
      <c r="P36" s="3">
        <f t="shared" si="8"/>
        <v>968000.00000000012</v>
      </c>
      <c r="Q36" s="3">
        <f t="shared" si="3"/>
        <v>66000</v>
      </c>
      <c r="R36" s="1" t="s">
        <v>19</v>
      </c>
      <c r="T36" s="27" t="str">
        <f t="shared" si="4"/>
        <v/>
      </c>
      <c r="U36" s="1" t="str">
        <f t="shared" si="5"/>
        <v/>
      </c>
    </row>
    <row r="37" spans="2:21">
      <c r="B37" s="1">
        <f t="shared" si="6"/>
        <v>33</v>
      </c>
      <c r="C37" s="2">
        <v>45799</v>
      </c>
      <c r="D37" s="2" t="str">
        <f t="shared" si="0"/>
        <v>2025년</v>
      </c>
      <c r="E37" s="1" t="str">
        <f t="shared" si="1"/>
        <v>5월</v>
      </c>
      <c r="F37" s="1" t="str">
        <f t="shared" si="2"/>
        <v>2025년5월</v>
      </c>
      <c r="G37" s="1" t="s">
        <v>289</v>
      </c>
      <c r="H37" s="1" t="str">
        <f>IFERROR((VLOOKUP(G37,Backdata!G:H,2,0)),"")</f>
        <v>428-86-01083</v>
      </c>
      <c r="I37" s="1" t="s">
        <v>9</v>
      </c>
      <c r="J37" s="1" t="s">
        <v>54</v>
      </c>
      <c r="K37" s="1" t="s">
        <v>100</v>
      </c>
      <c r="L37" s="1">
        <v>4</v>
      </c>
      <c r="M37" s="5">
        <v>170000</v>
      </c>
      <c r="N37" s="3">
        <f t="shared" si="7"/>
        <v>748000.00000000012</v>
      </c>
      <c r="O37" s="5">
        <v>150000</v>
      </c>
      <c r="P37" s="3">
        <f t="shared" si="8"/>
        <v>660000</v>
      </c>
      <c r="Q37" s="3">
        <f t="shared" si="3"/>
        <v>88000.000000000116</v>
      </c>
      <c r="R37" s="1" t="s">
        <v>19</v>
      </c>
      <c r="T37" s="27" t="str">
        <f t="shared" ref="T37:T68" si="9">IF(OR(I37="타이어",I37=""),"",C37)</f>
        <v/>
      </c>
      <c r="U37" s="1" t="str">
        <f t="shared" si="5"/>
        <v/>
      </c>
    </row>
    <row r="38" spans="2:21">
      <c r="B38" s="1">
        <f t="shared" si="6"/>
        <v>34</v>
      </c>
      <c r="C38" s="2">
        <v>45799</v>
      </c>
      <c r="D38" s="2" t="str">
        <f t="shared" si="0"/>
        <v>2025년</v>
      </c>
      <c r="E38" s="1" t="str">
        <f t="shared" si="1"/>
        <v>5월</v>
      </c>
      <c r="F38" s="1" t="str">
        <f t="shared" si="2"/>
        <v>2025년5월</v>
      </c>
      <c r="G38" s="1" t="s">
        <v>289</v>
      </c>
      <c r="H38" s="1" t="str">
        <f>IFERROR((VLOOKUP(G38,Backdata!G:H,2,0)),"")</f>
        <v>428-86-01083</v>
      </c>
      <c r="I38" s="1" t="s">
        <v>9</v>
      </c>
      <c r="J38" s="1" t="s">
        <v>89</v>
      </c>
      <c r="K38" s="1" t="s">
        <v>22</v>
      </c>
      <c r="L38" s="1">
        <v>-8</v>
      </c>
      <c r="M38" s="5">
        <v>50000</v>
      </c>
      <c r="N38" s="3">
        <f t="shared" si="7"/>
        <v>-440000.00000000006</v>
      </c>
      <c r="O38" s="5">
        <v>50000</v>
      </c>
      <c r="P38" s="3">
        <f t="shared" si="8"/>
        <v>-440000.00000000006</v>
      </c>
      <c r="Q38" s="3">
        <f t="shared" si="3"/>
        <v>0</v>
      </c>
      <c r="R38" s="1" t="s">
        <v>19</v>
      </c>
      <c r="T38" s="27" t="str">
        <f t="shared" si="9"/>
        <v/>
      </c>
      <c r="U38" s="1" t="str">
        <f t="shared" si="5"/>
        <v/>
      </c>
    </row>
    <row r="39" spans="2:21">
      <c r="B39" s="1">
        <f t="shared" si="6"/>
        <v>35</v>
      </c>
      <c r="C39" s="2">
        <v>45799</v>
      </c>
      <c r="D39" s="2" t="str">
        <f t="shared" si="0"/>
        <v>2025년</v>
      </c>
      <c r="E39" s="1" t="str">
        <f t="shared" si="1"/>
        <v>5월</v>
      </c>
      <c r="F39" s="1" t="str">
        <f t="shared" si="2"/>
        <v>2025년5월</v>
      </c>
      <c r="G39" s="1" t="s">
        <v>289</v>
      </c>
      <c r="H39" s="1" t="str">
        <f>IFERROR((VLOOKUP(G39,Backdata!G:H,2,0)),"")</f>
        <v>428-86-01083</v>
      </c>
      <c r="I39" s="1" t="s">
        <v>9</v>
      </c>
      <c r="J39" s="1" t="s">
        <v>90</v>
      </c>
      <c r="K39" s="1" t="s">
        <v>67</v>
      </c>
      <c r="L39" s="1">
        <v>-2</v>
      </c>
      <c r="M39" s="5">
        <v>240000</v>
      </c>
      <c r="N39" s="3">
        <f t="shared" si="7"/>
        <v>-528000</v>
      </c>
      <c r="O39" s="5">
        <v>240000</v>
      </c>
      <c r="P39" s="3">
        <f t="shared" si="8"/>
        <v>-528000</v>
      </c>
      <c r="Q39" s="3">
        <f t="shared" si="3"/>
        <v>0</v>
      </c>
      <c r="R39" s="1" t="s">
        <v>19</v>
      </c>
      <c r="T39" s="27" t="str">
        <f t="shared" si="9"/>
        <v/>
      </c>
      <c r="U39" s="1" t="str">
        <f t="shared" si="5"/>
        <v/>
      </c>
    </row>
    <row r="40" spans="2:21">
      <c r="B40" s="1">
        <f t="shared" si="6"/>
        <v>36</v>
      </c>
      <c r="C40" s="2">
        <v>45804</v>
      </c>
      <c r="D40" s="2" t="str">
        <f t="shared" si="0"/>
        <v>2025년</v>
      </c>
      <c r="E40" s="1" t="str">
        <f t="shared" si="1"/>
        <v>5월</v>
      </c>
      <c r="F40" s="1" t="str">
        <f t="shared" si="2"/>
        <v>2025년5월</v>
      </c>
      <c r="G40" s="1" t="s">
        <v>175</v>
      </c>
      <c r="H40" s="1" t="str">
        <f>IFERROR((VLOOKUP(G40,Backdata!G:H,2,0)),"")</f>
        <v>301-86-32786</v>
      </c>
      <c r="I40" s="1" t="s">
        <v>9</v>
      </c>
      <c r="J40" s="1" t="s">
        <v>60</v>
      </c>
      <c r="K40" s="1" t="s">
        <v>50</v>
      </c>
      <c r="L40" s="1">
        <v>6</v>
      </c>
      <c r="M40" s="5">
        <v>238000</v>
      </c>
      <c r="N40" s="3">
        <f t="shared" si="7"/>
        <v>1570800.0000000002</v>
      </c>
      <c r="O40" s="5">
        <v>210000</v>
      </c>
      <c r="P40" s="3">
        <f t="shared" si="8"/>
        <v>1386000</v>
      </c>
      <c r="Q40" s="3">
        <f t="shared" si="3"/>
        <v>184800.00000000023</v>
      </c>
      <c r="R40" s="1" t="s">
        <v>19</v>
      </c>
      <c r="T40" s="27" t="str">
        <f t="shared" si="9"/>
        <v/>
      </c>
      <c r="U40" s="1" t="str">
        <f t="shared" si="5"/>
        <v/>
      </c>
    </row>
    <row r="41" spans="2:21">
      <c r="B41" s="1">
        <f t="shared" si="6"/>
        <v>37</v>
      </c>
      <c r="C41" s="2">
        <v>45805</v>
      </c>
      <c r="D41" s="2" t="str">
        <f t="shared" si="0"/>
        <v>2025년</v>
      </c>
      <c r="E41" s="1" t="str">
        <f t="shared" si="1"/>
        <v>5월</v>
      </c>
      <c r="F41" s="1" t="str">
        <f t="shared" si="2"/>
        <v>2025년5월</v>
      </c>
      <c r="G41" s="1" t="s">
        <v>289</v>
      </c>
      <c r="H41" s="1" t="str">
        <f>IFERROR((VLOOKUP(G41,Backdata!G:H,2,0)),"")</f>
        <v>428-86-01083</v>
      </c>
      <c r="I41" s="1" t="s">
        <v>9</v>
      </c>
      <c r="J41" s="1" t="s">
        <v>91</v>
      </c>
      <c r="K41" s="1" t="s">
        <v>23</v>
      </c>
      <c r="L41" s="1">
        <v>2</v>
      </c>
      <c r="M41" s="5">
        <v>240000</v>
      </c>
      <c r="N41" s="3">
        <f t="shared" si="7"/>
        <v>528000</v>
      </c>
      <c r="O41" s="5">
        <v>220000</v>
      </c>
      <c r="P41" s="3">
        <f t="shared" si="8"/>
        <v>484000.00000000006</v>
      </c>
      <c r="Q41" s="3">
        <f t="shared" si="3"/>
        <v>43999.999999999942</v>
      </c>
      <c r="R41" s="1" t="s">
        <v>19</v>
      </c>
      <c r="T41" s="27" t="str">
        <f t="shared" si="9"/>
        <v/>
      </c>
      <c r="U41" s="1" t="str">
        <f t="shared" si="5"/>
        <v/>
      </c>
    </row>
    <row r="42" spans="2:21">
      <c r="B42" s="1">
        <f t="shared" si="6"/>
        <v>38</v>
      </c>
      <c r="C42" s="2">
        <v>45805</v>
      </c>
      <c r="D42" s="2" t="str">
        <f t="shared" si="0"/>
        <v>2025년</v>
      </c>
      <c r="E42" s="1" t="str">
        <f t="shared" si="1"/>
        <v>5월</v>
      </c>
      <c r="F42" s="1" t="str">
        <f t="shared" si="2"/>
        <v>2025년5월</v>
      </c>
      <c r="G42" s="1" t="s">
        <v>289</v>
      </c>
      <c r="H42" s="1" t="str">
        <f>IFERROR((VLOOKUP(G42,Backdata!G:H,2,0)),"")</f>
        <v>428-86-01083</v>
      </c>
      <c r="I42" s="1" t="s">
        <v>9</v>
      </c>
      <c r="J42" s="1" t="s">
        <v>61</v>
      </c>
      <c r="K42" s="1" t="s">
        <v>23</v>
      </c>
      <c r="L42" s="1">
        <v>-2</v>
      </c>
      <c r="M42" s="5">
        <v>110000</v>
      </c>
      <c r="N42" s="3">
        <f t="shared" si="7"/>
        <v>-242000.00000000003</v>
      </c>
      <c r="O42" s="5">
        <v>100000</v>
      </c>
      <c r="P42" s="3">
        <f t="shared" si="8"/>
        <v>-220000.00000000003</v>
      </c>
      <c r="Q42" s="3">
        <f t="shared" si="3"/>
        <v>-22000</v>
      </c>
      <c r="R42" s="1" t="s">
        <v>19</v>
      </c>
      <c r="T42" s="27" t="str">
        <f t="shared" si="9"/>
        <v/>
      </c>
      <c r="U42" s="1" t="str">
        <f t="shared" si="5"/>
        <v/>
      </c>
    </row>
    <row r="43" spans="2:21">
      <c r="B43" s="1">
        <f t="shared" si="6"/>
        <v>39</v>
      </c>
      <c r="C43" s="2">
        <v>45805</v>
      </c>
      <c r="D43" s="2" t="str">
        <f t="shared" si="0"/>
        <v>2025년</v>
      </c>
      <c r="E43" s="1" t="str">
        <f t="shared" si="1"/>
        <v>5월</v>
      </c>
      <c r="F43" s="1" t="str">
        <f t="shared" si="2"/>
        <v>2025년5월</v>
      </c>
      <c r="G43" s="1" t="s">
        <v>296</v>
      </c>
      <c r="H43" s="1" t="str">
        <f>IFERROR((VLOOKUP(G43,Backdata!G:H,2,0)),"")</f>
        <v>125-81-82538</v>
      </c>
      <c r="I43" s="1" t="s">
        <v>10</v>
      </c>
      <c r="J43" s="1" t="s">
        <v>126</v>
      </c>
      <c r="K43" s="1" t="s">
        <v>125</v>
      </c>
      <c r="L43" s="1">
        <v>2</v>
      </c>
      <c r="M43" s="5">
        <v>90000</v>
      </c>
      <c r="N43" s="3">
        <f t="shared" si="7"/>
        <v>198000.00000000003</v>
      </c>
      <c r="O43" s="5">
        <v>80000</v>
      </c>
      <c r="P43" s="3">
        <f t="shared" si="8"/>
        <v>176000</v>
      </c>
      <c r="Q43" s="3">
        <f t="shared" si="3"/>
        <v>22000.000000000029</v>
      </c>
      <c r="R43" s="1" t="s">
        <v>19</v>
      </c>
      <c r="T43" s="27" t="str">
        <f t="shared" si="9"/>
        <v/>
      </c>
      <c r="U43" s="1" t="str">
        <f t="shared" si="5"/>
        <v/>
      </c>
    </row>
    <row r="44" spans="2:21" hidden="1">
      <c r="B44" s="1">
        <f t="shared" si="6"/>
        <v>40</v>
      </c>
      <c r="C44" s="2">
        <v>45807</v>
      </c>
      <c r="D44" s="2" t="str">
        <f t="shared" si="0"/>
        <v>2025년</v>
      </c>
      <c r="E44" s="1" t="str">
        <f t="shared" si="1"/>
        <v>5월</v>
      </c>
      <c r="F44" s="1" t="str">
        <f t="shared" si="2"/>
        <v>2025년5월</v>
      </c>
      <c r="G44" s="1" t="s">
        <v>92</v>
      </c>
      <c r="H44" s="1" t="str">
        <f>IFERROR((VLOOKUP(G44,Backdata!G:H,2,0)),"")</f>
        <v>274-23-02044</v>
      </c>
      <c r="I44" s="1" t="s">
        <v>40</v>
      </c>
      <c r="J44" s="1" t="s">
        <v>41</v>
      </c>
      <c r="K44" s="1" t="s">
        <v>93</v>
      </c>
      <c r="L44" s="1">
        <v>11.04</v>
      </c>
      <c r="M44" s="5">
        <v>210000</v>
      </c>
      <c r="N44" s="3">
        <f t="shared" si="7"/>
        <v>2550240</v>
      </c>
      <c r="O44" s="5">
        <v>182000</v>
      </c>
      <c r="P44" s="3">
        <f t="shared" si="8"/>
        <v>2210208</v>
      </c>
      <c r="Q44" s="3">
        <f t="shared" si="3"/>
        <v>340032</v>
      </c>
      <c r="R44" s="1" t="s">
        <v>19</v>
      </c>
      <c r="T44" s="27">
        <f t="shared" si="9"/>
        <v>45807</v>
      </c>
      <c r="U44" s="1" t="str">
        <f t="shared" si="5"/>
        <v>완료</v>
      </c>
    </row>
    <row r="45" spans="2:21" hidden="1">
      <c r="B45" s="1">
        <f t="shared" si="6"/>
        <v>41</v>
      </c>
      <c r="C45" s="2">
        <v>45807</v>
      </c>
      <c r="D45" s="2" t="str">
        <f t="shared" si="0"/>
        <v>2025년</v>
      </c>
      <c r="E45" s="1" t="str">
        <f t="shared" si="1"/>
        <v>5월</v>
      </c>
      <c r="F45" s="1" t="str">
        <f t="shared" si="2"/>
        <v>2025년5월</v>
      </c>
      <c r="G45" s="1" t="s">
        <v>92</v>
      </c>
      <c r="H45" s="1" t="str">
        <f>IFERROR((VLOOKUP(G45,Backdata!G:H,2,0)),"")</f>
        <v>274-23-02044</v>
      </c>
      <c r="I45" s="1" t="s">
        <v>40</v>
      </c>
      <c r="J45" s="1" t="s">
        <v>43</v>
      </c>
      <c r="K45" s="1" t="s">
        <v>94</v>
      </c>
      <c r="L45" s="1">
        <v>1</v>
      </c>
      <c r="M45" s="5">
        <v>600000</v>
      </c>
      <c r="N45" s="3">
        <f t="shared" si="7"/>
        <v>660000</v>
      </c>
      <c r="O45" s="5">
        <v>500000</v>
      </c>
      <c r="P45" s="3">
        <f t="shared" si="8"/>
        <v>550000</v>
      </c>
      <c r="Q45" s="3">
        <f t="shared" si="3"/>
        <v>110000</v>
      </c>
      <c r="R45" s="1" t="s">
        <v>19</v>
      </c>
      <c r="T45" s="27">
        <f t="shared" si="9"/>
        <v>45807</v>
      </c>
      <c r="U45" s="1" t="str">
        <f t="shared" si="5"/>
        <v>완료</v>
      </c>
    </row>
    <row r="46" spans="2:21" hidden="1">
      <c r="B46" s="1">
        <f t="shared" si="6"/>
        <v>42</v>
      </c>
      <c r="C46" s="2">
        <v>45810</v>
      </c>
      <c r="D46" s="2" t="str">
        <f t="shared" si="0"/>
        <v>2025년</v>
      </c>
      <c r="E46" s="1" t="str">
        <f t="shared" si="1"/>
        <v>6월</v>
      </c>
      <c r="F46" s="1" t="str">
        <f t="shared" si="2"/>
        <v>2025년6월</v>
      </c>
      <c r="G46" s="1" t="s">
        <v>39</v>
      </c>
      <c r="H46" s="1" t="str">
        <f>IFERROR((VLOOKUP(G46,Backdata!G:H,2,0)),"")</f>
        <v>622-09-69331</v>
      </c>
      <c r="I46" s="1" t="s">
        <v>40</v>
      </c>
      <c r="J46" s="1" t="s">
        <v>41</v>
      </c>
      <c r="K46" s="1" t="s">
        <v>95</v>
      </c>
      <c r="L46" s="1">
        <v>14.59</v>
      </c>
      <c r="M46" s="5">
        <v>203000</v>
      </c>
      <c r="N46" s="3">
        <f t="shared" si="7"/>
        <v>3257947.0000000005</v>
      </c>
      <c r="O46" s="5">
        <v>182000</v>
      </c>
      <c r="P46" s="3">
        <f t="shared" si="8"/>
        <v>2920918.0000000005</v>
      </c>
      <c r="Q46" s="3">
        <f t="shared" si="3"/>
        <v>337029</v>
      </c>
      <c r="R46" s="1" t="s">
        <v>19</v>
      </c>
      <c r="T46" s="27">
        <f t="shared" si="9"/>
        <v>45810</v>
      </c>
      <c r="U46" s="1" t="str">
        <f t="shared" si="5"/>
        <v>완료</v>
      </c>
    </row>
    <row r="47" spans="2:21" hidden="1">
      <c r="B47" s="1">
        <f t="shared" si="6"/>
        <v>43</v>
      </c>
      <c r="C47" s="2">
        <v>45810</v>
      </c>
      <c r="D47" s="2" t="str">
        <f t="shared" si="0"/>
        <v>2025년</v>
      </c>
      <c r="E47" s="1" t="str">
        <f t="shared" si="1"/>
        <v>6월</v>
      </c>
      <c r="F47" s="1" t="str">
        <f t="shared" si="2"/>
        <v>2025년6월</v>
      </c>
      <c r="G47" s="1" t="s">
        <v>39</v>
      </c>
      <c r="H47" s="1" t="str">
        <f>IFERROR((VLOOKUP(G47,Backdata!G:H,2,0)),"")</f>
        <v>622-09-69331</v>
      </c>
      <c r="I47" s="1" t="s">
        <v>40</v>
      </c>
      <c r="J47" s="1" t="s">
        <v>43</v>
      </c>
      <c r="K47" s="1" t="s">
        <v>96</v>
      </c>
      <c r="L47" s="1">
        <v>1</v>
      </c>
      <c r="M47" s="5">
        <v>1100000</v>
      </c>
      <c r="N47" s="3">
        <f t="shared" si="7"/>
        <v>1210000</v>
      </c>
      <c r="O47" s="5">
        <v>1000000</v>
      </c>
      <c r="P47" s="3">
        <f t="shared" si="8"/>
        <v>1100000</v>
      </c>
      <c r="Q47" s="3">
        <f t="shared" si="3"/>
        <v>110000</v>
      </c>
      <c r="R47" s="1" t="s">
        <v>19</v>
      </c>
      <c r="T47" s="27">
        <f t="shared" si="9"/>
        <v>45810</v>
      </c>
      <c r="U47" s="1" t="str">
        <f t="shared" si="5"/>
        <v>완료</v>
      </c>
    </row>
    <row r="48" spans="2:21" hidden="1">
      <c r="B48" s="1">
        <f t="shared" si="6"/>
        <v>44</v>
      </c>
      <c r="C48" s="2">
        <v>45810</v>
      </c>
      <c r="D48" s="2" t="str">
        <f t="shared" si="0"/>
        <v>2025년</v>
      </c>
      <c r="E48" s="1" t="str">
        <f t="shared" si="1"/>
        <v>6월</v>
      </c>
      <c r="F48" s="1" t="str">
        <f t="shared" si="2"/>
        <v>2025년6월</v>
      </c>
      <c r="G48" s="1" t="s">
        <v>39</v>
      </c>
      <c r="H48" s="1" t="str">
        <f>IFERROR((VLOOKUP(G48,Backdata!G:H,2,0)),"")</f>
        <v>622-09-69331</v>
      </c>
      <c r="I48" s="1" t="s">
        <v>40</v>
      </c>
      <c r="J48" s="1" t="s">
        <v>97</v>
      </c>
      <c r="K48" s="1" t="s">
        <v>98</v>
      </c>
      <c r="L48" s="1">
        <v>400</v>
      </c>
      <c r="M48" s="5">
        <v>1400</v>
      </c>
      <c r="N48" s="3">
        <f t="shared" si="7"/>
        <v>616000</v>
      </c>
      <c r="O48" s="5">
        <v>1400</v>
      </c>
      <c r="P48" s="3">
        <f t="shared" si="8"/>
        <v>616000</v>
      </c>
      <c r="Q48" s="3">
        <f t="shared" si="3"/>
        <v>0</v>
      </c>
      <c r="R48" s="1" t="s">
        <v>19</v>
      </c>
      <c r="T48" s="27">
        <f t="shared" si="9"/>
        <v>45810</v>
      </c>
      <c r="U48" s="1" t="str">
        <f t="shared" si="5"/>
        <v>완료</v>
      </c>
    </row>
    <row r="49" spans="2:21">
      <c r="B49" s="1">
        <f t="shared" si="6"/>
        <v>45</v>
      </c>
      <c r="C49" s="2">
        <v>45810</v>
      </c>
      <c r="D49" s="2" t="str">
        <f t="shared" si="0"/>
        <v>2025년</v>
      </c>
      <c r="E49" s="1" t="str">
        <f t="shared" si="1"/>
        <v>6월</v>
      </c>
      <c r="F49" s="1" t="str">
        <f t="shared" si="2"/>
        <v>2025년6월</v>
      </c>
      <c r="G49" s="1" t="s">
        <v>289</v>
      </c>
      <c r="H49" s="1" t="str">
        <f>IFERROR((VLOOKUP(G49,Backdata!G:H,2,0)),"")</f>
        <v>428-86-01083</v>
      </c>
      <c r="I49" s="1" t="s">
        <v>9</v>
      </c>
      <c r="J49" s="1" t="s">
        <v>99</v>
      </c>
      <c r="K49" s="1" t="s">
        <v>50</v>
      </c>
      <c r="L49" s="1">
        <v>2</v>
      </c>
      <c r="M49" s="5">
        <v>270000</v>
      </c>
      <c r="N49" s="3">
        <f t="shared" si="7"/>
        <v>594000</v>
      </c>
      <c r="O49" s="5">
        <v>250000</v>
      </c>
      <c r="P49" s="3">
        <f t="shared" si="8"/>
        <v>550000</v>
      </c>
      <c r="Q49" s="3">
        <f t="shared" si="3"/>
        <v>44000</v>
      </c>
      <c r="R49" s="1" t="s">
        <v>19</v>
      </c>
      <c r="T49" s="27" t="str">
        <f t="shared" si="9"/>
        <v/>
      </c>
      <c r="U49" s="1" t="str">
        <f t="shared" si="5"/>
        <v/>
      </c>
    </row>
    <row r="50" spans="2:21">
      <c r="B50" s="1">
        <f t="shared" si="6"/>
        <v>46</v>
      </c>
      <c r="C50" s="2">
        <v>45810</v>
      </c>
      <c r="D50" s="2" t="str">
        <f t="shared" si="0"/>
        <v>2025년</v>
      </c>
      <c r="E50" s="1" t="str">
        <f t="shared" si="1"/>
        <v>6월</v>
      </c>
      <c r="F50" s="1" t="str">
        <f t="shared" si="2"/>
        <v>2025년6월</v>
      </c>
      <c r="G50" s="1" t="s">
        <v>289</v>
      </c>
      <c r="H50" s="1" t="str">
        <f>IFERROR((VLOOKUP(G50,Backdata!G:H,2,0)),"")</f>
        <v>428-86-01083</v>
      </c>
      <c r="I50" s="1" t="s">
        <v>9</v>
      </c>
      <c r="J50" s="1" t="s">
        <v>61</v>
      </c>
      <c r="K50" s="1" t="s">
        <v>50</v>
      </c>
      <c r="L50" s="1">
        <v>-2</v>
      </c>
      <c r="M50" s="5">
        <v>240000</v>
      </c>
      <c r="N50" s="3">
        <f t="shared" si="7"/>
        <v>-528000</v>
      </c>
      <c r="O50" s="5">
        <v>220000</v>
      </c>
      <c r="P50" s="3">
        <f t="shared" si="8"/>
        <v>-484000.00000000006</v>
      </c>
      <c r="Q50" s="3">
        <f t="shared" si="3"/>
        <v>-43999.999999999942</v>
      </c>
      <c r="R50" s="1" t="s">
        <v>19</v>
      </c>
      <c r="T50" s="27" t="str">
        <f t="shared" si="9"/>
        <v/>
      </c>
      <c r="U50" s="1" t="str">
        <f t="shared" si="5"/>
        <v/>
      </c>
    </row>
    <row r="51" spans="2:21" hidden="1">
      <c r="B51" s="1">
        <f t="shared" si="6"/>
        <v>47</v>
      </c>
      <c r="C51" s="2">
        <v>45812</v>
      </c>
      <c r="D51" s="2" t="str">
        <f t="shared" si="0"/>
        <v>2025년</v>
      </c>
      <c r="E51" s="1" t="str">
        <f t="shared" si="1"/>
        <v>6월</v>
      </c>
      <c r="F51" s="1" t="str">
        <f t="shared" si="2"/>
        <v>2025년6월</v>
      </c>
      <c r="G51" s="1" t="s">
        <v>235</v>
      </c>
      <c r="H51" s="1" t="str">
        <f>IFERROR((VLOOKUP(G51,Backdata!G:H,2,0)),"")</f>
        <v>235-86-01235</v>
      </c>
      <c r="I51" s="1" t="s">
        <v>46</v>
      </c>
      <c r="J51" s="1" t="s">
        <v>131</v>
      </c>
      <c r="K51" s="1" t="s">
        <v>47</v>
      </c>
      <c r="L51" s="1">
        <v>1</v>
      </c>
      <c r="M51" s="5">
        <v>1450000</v>
      </c>
      <c r="N51" s="3">
        <f t="shared" si="7"/>
        <v>1595000.0000000002</v>
      </c>
      <c r="O51" s="5">
        <v>1000000</v>
      </c>
      <c r="P51" s="3">
        <f t="shared" si="8"/>
        <v>1100000</v>
      </c>
      <c r="Q51" s="3">
        <f t="shared" si="3"/>
        <v>495000.00000000023</v>
      </c>
      <c r="R51" s="1" t="s">
        <v>19</v>
      </c>
      <c r="T51" s="27">
        <f t="shared" si="9"/>
        <v>45812</v>
      </c>
      <c r="U51" s="1" t="str">
        <f t="shared" si="5"/>
        <v>완료</v>
      </c>
    </row>
    <row r="52" spans="2:21">
      <c r="B52" s="1">
        <f t="shared" si="6"/>
        <v>48</v>
      </c>
      <c r="C52" s="2">
        <v>45817</v>
      </c>
      <c r="D52" s="2" t="str">
        <f t="shared" si="0"/>
        <v>2025년</v>
      </c>
      <c r="E52" s="1" t="str">
        <f t="shared" si="1"/>
        <v>6월</v>
      </c>
      <c r="F52" s="1" t="str">
        <f t="shared" si="2"/>
        <v>2025년6월</v>
      </c>
      <c r="G52" s="1" t="s">
        <v>175</v>
      </c>
      <c r="H52" s="1" t="str">
        <f>IFERROR((VLOOKUP(G52,Backdata!G:H,2,0)),"")</f>
        <v>301-86-32786</v>
      </c>
      <c r="I52" s="1" t="s">
        <v>9</v>
      </c>
      <c r="J52" s="1" t="s">
        <v>12</v>
      </c>
      <c r="K52" s="1" t="s">
        <v>67</v>
      </c>
      <c r="L52" s="1">
        <v>2</v>
      </c>
      <c r="M52" s="5">
        <v>195000</v>
      </c>
      <c r="N52" s="3">
        <f t="shared" si="7"/>
        <v>429000.00000000006</v>
      </c>
      <c r="O52" s="5">
        <v>270000</v>
      </c>
      <c r="P52" s="3">
        <f t="shared" si="8"/>
        <v>594000</v>
      </c>
      <c r="Q52" s="3">
        <f t="shared" si="3"/>
        <v>-164999.99999999994</v>
      </c>
      <c r="R52" s="1" t="s">
        <v>19</v>
      </c>
      <c r="T52" s="27" t="str">
        <f t="shared" si="9"/>
        <v/>
      </c>
      <c r="U52" s="1" t="str">
        <f t="shared" si="5"/>
        <v/>
      </c>
    </row>
    <row r="53" spans="2:21">
      <c r="B53" s="1">
        <f t="shared" si="6"/>
        <v>49</v>
      </c>
      <c r="C53" s="2">
        <v>45817</v>
      </c>
      <c r="D53" s="2" t="str">
        <f t="shared" si="0"/>
        <v>2025년</v>
      </c>
      <c r="E53" s="1" t="str">
        <f t="shared" si="1"/>
        <v>6월</v>
      </c>
      <c r="F53" s="1" t="str">
        <f t="shared" si="2"/>
        <v>2025년6월</v>
      </c>
      <c r="G53" s="1" t="s">
        <v>175</v>
      </c>
      <c r="H53" s="1" t="str">
        <f>IFERROR((VLOOKUP(G53,Backdata!G:H,2,0)),"")</f>
        <v>301-86-32786</v>
      </c>
      <c r="I53" s="1" t="s">
        <v>9</v>
      </c>
      <c r="J53" s="1" t="s">
        <v>12</v>
      </c>
      <c r="K53" s="1" t="s">
        <v>22</v>
      </c>
      <c r="L53" s="1">
        <v>2</v>
      </c>
      <c r="M53" s="5">
        <v>90000</v>
      </c>
      <c r="N53" s="3">
        <f t="shared" si="7"/>
        <v>198000.00000000003</v>
      </c>
      <c r="O53" s="5">
        <v>160000</v>
      </c>
      <c r="P53" s="3">
        <f t="shared" si="8"/>
        <v>352000</v>
      </c>
      <c r="Q53" s="3">
        <f t="shared" si="3"/>
        <v>-153999.99999999997</v>
      </c>
      <c r="R53" s="1" t="s">
        <v>19</v>
      </c>
      <c r="T53" s="27" t="str">
        <f t="shared" si="9"/>
        <v/>
      </c>
      <c r="U53" s="1" t="str">
        <f t="shared" si="5"/>
        <v/>
      </c>
    </row>
    <row r="54" spans="2:21">
      <c r="B54" s="1">
        <f t="shared" si="6"/>
        <v>50</v>
      </c>
      <c r="C54" s="2">
        <v>45817</v>
      </c>
      <c r="D54" s="2" t="str">
        <f t="shared" si="0"/>
        <v>2025년</v>
      </c>
      <c r="E54" s="1" t="str">
        <f t="shared" si="1"/>
        <v>6월</v>
      </c>
      <c r="F54" s="1" t="str">
        <f t="shared" si="2"/>
        <v>2025년6월</v>
      </c>
      <c r="G54" s="1" t="s">
        <v>175</v>
      </c>
      <c r="H54" s="1" t="str">
        <f>IFERROR((VLOOKUP(G54,Backdata!G:H,2,0)),"")</f>
        <v>301-86-32786</v>
      </c>
      <c r="I54" s="1" t="s">
        <v>9</v>
      </c>
      <c r="J54" s="1" t="s">
        <v>12</v>
      </c>
      <c r="K54" s="1" t="s">
        <v>48</v>
      </c>
      <c r="L54" s="1">
        <v>4</v>
      </c>
      <c r="M54" s="5">
        <v>128000</v>
      </c>
      <c r="N54" s="3">
        <f t="shared" si="7"/>
        <v>563200</v>
      </c>
      <c r="O54" s="5">
        <v>100000</v>
      </c>
      <c r="P54" s="3">
        <f t="shared" si="8"/>
        <v>440000.00000000006</v>
      </c>
      <c r="Q54" s="3">
        <f t="shared" si="3"/>
        <v>123199.99999999994</v>
      </c>
      <c r="R54" s="1" t="s">
        <v>19</v>
      </c>
      <c r="T54" s="27" t="str">
        <f t="shared" si="9"/>
        <v/>
      </c>
      <c r="U54" s="1" t="str">
        <f t="shared" si="5"/>
        <v/>
      </c>
    </row>
    <row r="55" spans="2:21" hidden="1">
      <c r="B55" s="1">
        <f t="shared" si="6"/>
        <v>51</v>
      </c>
      <c r="C55" s="2">
        <v>45817</v>
      </c>
      <c r="D55" s="2" t="str">
        <f t="shared" si="0"/>
        <v>2025년</v>
      </c>
      <c r="E55" s="1" t="str">
        <f t="shared" si="1"/>
        <v>6월</v>
      </c>
      <c r="F55" s="1" t="str">
        <f t="shared" si="2"/>
        <v>2025년6월</v>
      </c>
      <c r="G55" s="1" t="s">
        <v>224</v>
      </c>
      <c r="H55" s="1" t="str">
        <f>IFERROR((VLOOKUP(G55,Backdata!G:H,2,0)),"")</f>
        <v>318-81-11047</v>
      </c>
      <c r="I55" s="1" t="s">
        <v>46</v>
      </c>
      <c r="J55" s="1" t="s">
        <v>53</v>
      </c>
      <c r="K55" s="1" t="s">
        <v>52</v>
      </c>
      <c r="L55" s="1">
        <v>1</v>
      </c>
      <c r="M55" s="5">
        <v>630000</v>
      </c>
      <c r="N55" s="3">
        <f t="shared" si="7"/>
        <v>693000</v>
      </c>
      <c r="O55" s="5">
        <v>580000</v>
      </c>
      <c r="P55" s="3">
        <f t="shared" si="8"/>
        <v>638000</v>
      </c>
      <c r="Q55" s="3">
        <f t="shared" si="3"/>
        <v>55000</v>
      </c>
      <c r="R55" s="1" t="s">
        <v>19</v>
      </c>
      <c r="T55" s="27">
        <f t="shared" si="9"/>
        <v>45817</v>
      </c>
      <c r="U55" s="1" t="str">
        <f t="shared" si="5"/>
        <v>완료</v>
      </c>
    </row>
    <row r="56" spans="2:21">
      <c r="B56" s="1">
        <f t="shared" si="6"/>
        <v>52</v>
      </c>
      <c r="C56" s="2">
        <v>45819</v>
      </c>
      <c r="D56" s="2" t="str">
        <f t="shared" si="0"/>
        <v>2025년</v>
      </c>
      <c r="E56" s="1" t="str">
        <f t="shared" si="1"/>
        <v>6월</v>
      </c>
      <c r="F56" s="1" t="str">
        <f t="shared" si="2"/>
        <v>2025년6월</v>
      </c>
      <c r="G56" s="1" t="s">
        <v>39</v>
      </c>
      <c r="H56" s="1" t="str">
        <f>IFERROR((VLOOKUP(G56,Backdata!G:H,2,0)),"")</f>
        <v>622-09-69331</v>
      </c>
      <c r="I56" s="1" t="s">
        <v>9</v>
      </c>
      <c r="J56" s="1" t="s">
        <v>83</v>
      </c>
      <c r="K56" s="1" t="s">
        <v>67</v>
      </c>
      <c r="L56" s="1">
        <v>4</v>
      </c>
      <c r="M56" s="5">
        <v>220000</v>
      </c>
      <c r="N56" s="3">
        <f t="shared" si="7"/>
        <v>968000.00000000012</v>
      </c>
      <c r="O56" s="5">
        <v>190000</v>
      </c>
      <c r="P56" s="3">
        <f t="shared" si="8"/>
        <v>836000.00000000012</v>
      </c>
      <c r="Q56" s="3">
        <f t="shared" si="3"/>
        <v>132000</v>
      </c>
      <c r="R56" s="1" t="s">
        <v>19</v>
      </c>
      <c r="T56" s="27" t="str">
        <f t="shared" si="9"/>
        <v/>
      </c>
      <c r="U56" s="1" t="str">
        <f t="shared" si="5"/>
        <v/>
      </c>
    </row>
    <row r="57" spans="2:21">
      <c r="B57" s="1">
        <f t="shared" si="6"/>
        <v>53</v>
      </c>
      <c r="C57" s="2">
        <v>45819</v>
      </c>
      <c r="D57" s="2" t="str">
        <f t="shared" si="0"/>
        <v>2025년</v>
      </c>
      <c r="E57" s="1" t="str">
        <f t="shared" si="1"/>
        <v>6월</v>
      </c>
      <c r="F57" s="1" t="str">
        <f t="shared" si="2"/>
        <v>2025년6월</v>
      </c>
      <c r="G57" s="1" t="s">
        <v>39</v>
      </c>
      <c r="H57" s="1" t="str">
        <f>IFERROR((VLOOKUP(G57,Backdata!G:H,2,0)),"")</f>
        <v>622-09-69331</v>
      </c>
      <c r="I57" s="1" t="s">
        <v>9</v>
      </c>
      <c r="J57" s="1" t="s">
        <v>83</v>
      </c>
      <c r="K57" s="1" t="s">
        <v>22</v>
      </c>
      <c r="L57" s="1">
        <v>6</v>
      </c>
      <c r="M57" s="5">
        <v>105000</v>
      </c>
      <c r="N57" s="3">
        <f t="shared" si="7"/>
        <v>693000</v>
      </c>
      <c r="O57" s="5">
        <v>85000</v>
      </c>
      <c r="P57" s="3">
        <f t="shared" si="8"/>
        <v>561000</v>
      </c>
      <c r="Q57" s="3">
        <f t="shared" si="3"/>
        <v>132000</v>
      </c>
      <c r="R57" s="1" t="s">
        <v>19</v>
      </c>
      <c r="T57" s="27" t="str">
        <f t="shared" si="9"/>
        <v/>
      </c>
      <c r="U57" s="1" t="str">
        <f t="shared" si="5"/>
        <v/>
      </c>
    </row>
    <row r="58" spans="2:21">
      <c r="B58" s="1">
        <f t="shared" si="6"/>
        <v>54</v>
      </c>
      <c r="C58" s="2">
        <v>45824</v>
      </c>
      <c r="D58" s="2" t="str">
        <f t="shared" si="0"/>
        <v>2025년</v>
      </c>
      <c r="E58" s="1" t="str">
        <f t="shared" si="1"/>
        <v>6월</v>
      </c>
      <c r="F58" s="1" t="str">
        <f t="shared" si="2"/>
        <v>2025년6월</v>
      </c>
      <c r="G58" s="1" t="s">
        <v>175</v>
      </c>
      <c r="H58" s="1" t="str">
        <f>IFERROR((VLOOKUP(G58,Backdata!G:H,2,0)),"")</f>
        <v>301-86-32786</v>
      </c>
      <c r="I58" s="1" t="s">
        <v>9</v>
      </c>
      <c r="J58" s="1" t="s">
        <v>12</v>
      </c>
      <c r="K58" s="1" t="s">
        <v>22</v>
      </c>
      <c r="L58" s="1">
        <v>4</v>
      </c>
      <c r="M58" s="5">
        <v>140000</v>
      </c>
      <c r="N58" s="3">
        <f t="shared" si="7"/>
        <v>616000</v>
      </c>
      <c r="O58" s="5">
        <v>160000</v>
      </c>
      <c r="P58" s="3">
        <f t="shared" si="8"/>
        <v>704000</v>
      </c>
      <c r="Q58" s="3">
        <f t="shared" si="3"/>
        <v>-88000</v>
      </c>
      <c r="R58" s="1" t="s">
        <v>19</v>
      </c>
      <c r="T58" s="27" t="str">
        <f t="shared" si="9"/>
        <v/>
      </c>
      <c r="U58" s="1" t="str">
        <f t="shared" si="5"/>
        <v/>
      </c>
    </row>
    <row r="59" spans="2:21">
      <c r="B59" s="1">
        <f t="shared" si="6"/>
        <v>55</v>
      </c>
      <c r="C59" s="2">
        <v>45824</v>
      </c>
      <c r="D59" s="2" t="str">
        <f t="shared" si="0"/>
        <v>2025년</v>
      </c>
      <c r="E59" s="1" t="str">
        <f t="shared" si="1"/>
        <v>6월</v>
      </c>
      <c r="F59" s="1" t="str">
        <f t="shared" si="2"/>
        <v>2025년6월</v>
      </c>
      <c r="G59" s="1" t="s">
        <v>175</v>
      </c>
      <c r="H59" s="1" t="str">
        <f>IFERROR((VLOOKUP(G59,Backdata!G:H,2,0)),"")</f>
        <v>301-86-32786</v>
      </c>
      <c r="I59" s="1" t="s">
        <v>9</v>
      </c>
      <c r="J59" s="1" t="s">
        <v>91</v>
      </c>
      <c r="K59" s="1" t="s">
        <v>87</v>
      </c>
      <c r="L59" s="1">
        <v>2</v>
      </c>
      <c r="M59" s="5">
        <v>270000</v>
      </c>
      <c r="N59" s="3">
        <f t="shared" si="7"/>
        <v>594000</v>
      </c>
      <c r="O59" s="5">
        <v>270000</v>
      </c>
      <c r="P59" s="3">
        <f t="shared" si="8"/>
        <v>594000</v>
      </c>
      <c r="Q59" s="3">
        <f t="shared" si="3"/>
        <v>0</v>
      </c>
      <c r="R59" s="1" t="s">
        <v>19</v>
      </c>
      <c r="T59" s="27" t="str">
        <f t="shared" si="9"/>
        <v/>
      </c>
      <c r="U59" s="1" t="str">
        <f t="shared" si="5"/>
        <v/>
      </c>
    </row>
    <row r="60" spans="2:21" hidden="1">
      <c r="B60" s="1">
        <f t="shared" si="6"/>
        <v>56</v>
      </c>
      <c r="C60" s="2">
        <v>45824</v>
      </c>
      <c r="D60" s="2" t="str">
        <f t="shared" si="0"/>
        <v>2025년</v>
      </c>
      <c r="E60" s="1" t="str">
        <f t="shared" si="1"/>
        <v>6월</v>
      </c>
      <c r="F60" s="1" t="str">
        <f t="shared" si="2"/>
        <v>2025년6월</v>
      </c>
      <c r="G60" s="1" t="s">
        <v>235</v>
      </c>
      <c r="H60" s="1" t="str">
        <f>IFERROR((VLOOKUP(G60,Backdata!G:H,2,0)),"")</f>
        <v>235-86-01235</v>
      </c>
      <c r="I60" s="1" t="s">
        <v>46</v>
      </c>
      <c r="J60" s="1" t="s">
        <v>30</v>
      </c>
      <c r="K60" s="1" t="s">
        <v>31</v>
      </c>
      <c r="L60" s="1">
        <v>2</v>
      </c>
      <c r="M60" s="5">
        <v>1100000</v>
      </c>
      <c r="N60" s="3">
        <f t="shared" si="7"/>
        <v>2420000</v>
      </c>
      <c r="O60" s="5">
        <v>800000</v>
      </c>
      <c r="P60" s="3">
        <f t="shared" si="8"/>
        <v>1760000.0000000002</v>
      </c>
      <c r="Q60" s="3">
        <f t="shared" si="3"/>
        <v>659999.99999999977</v>
      </c>
      <c r="R60" s="1" t="s">
        <v>19</v>
      </c>
      <c r="T60" s="27">
        <f t="shared" si="9"/>
        <v>45824</v>
      </c>
      <c r="U60" s="1" t="str">
        <f t="shared" si="5"/>
        <v>완료</v>
      </c>
    </row>
    <row r="61" spans="2:21">
      <c r="B61" s="1">
        <f t="shared" si="6"/>
        <v>57</v>
      </c>
      <c r="C61" s="2">
        <v>45826</v>
      </c>
      <c r="D61" s="2" t="str">
        <f t="shared" si="0"/>
        <v>2025년</v>
      </c>
      <c r="E61" s="1" t="str">
        <f t="shared" si="1"/>
        <v>6월</v>
      </c>
      <c r="F61" s="1" t="str">
        <f t="shared" si="2"/>
        <v>2025년6월</v>
      </c>
      <c r="G61" s="1" t="s">
        <v>289</v>
      </c>
      <c r="H61" s="1" t="str">
        <f>IFERROR((VLOOKUP(G61,Backdata!G:H,2,0)),"")</f>
        <v>428-86-01083</v>
      </c>
      <c r="I61" s="1" t="s">
        <v>9</v>
      </c>
      <c r="J61" s="1" t="s">
        <v>61</v>
      </c>
      <c r="K61" s="1" t="s">
        <v>50</v>
      </c>
      <c r="L61" s="1">
        <v>6</v>
      </c>
      <c r="M61" s="5">
        <v>340000</v>
      </c>
      <c r="N61" s="3">
        <f t="shared" si="7"/>
        <v>2244000</v>
      </c>
      <c r="O61" s="5">
        <v>320000</v>
      </c>
      <c r="P61" s="3">
        <f t="shared" si="8"/>
        <v>2112000</v>
      </c>
      <c r="Q61" s="3">
        <f t="shared" si="3"/>
        <v>132000</v>
      </c>
      <c r="R61" s="1" t="s">
        <v>19</v>
      </c>
      <c r="T61" s="27" t="str">
        <f t="shared" si="9"/>
        <v/>
      </c>
      <c r="U61" s="1" t="str">
        <f t="shared" si="5"/>
        <v/>
      </c>
    </row>
    <row r="62" spans="2:21">
      <c r="B62" s="1">
        <f t="shared" si="6"/>
        <v>58</v>
      </c>
      <c r="C62" s="2">
        <v>45826</v>
      </c>
      <c r="D62" s="2" t="str">
        <f t="shared" si="0"/>
        <v>2025년</v>
      </c>
      <c r="E62" s="1" t="str">
        <f t="shared" si="1"/>
        <v>6월</v>
      </c>
      <c r="F62" s="1" t="str">
        <f t="shared" si="2"/>
        <v>2025년6월</v>
      </c>
      <c r="G62" s="1" t="s">
        <v>289</v>
      </c>
      <c r="H62" s="1" t="str">
        <f>IFERROR((VLOOKUP(G62,Backdata!G:H,2,0)),"")</f>
        <v>428-86-01083</v>
      </c>
      <c r="I62" s="1" t="s">
        <v>9</v>
      </c>
      <c r="J62" s="1" t="s">
        <v>60</v>
      </c>
      <c r="K62" s="1" t="s">
        <v>50</v>
      </c>
      <c r="L62" s="1">
        <v>-6</v>
      </c>
      <c r="M62" s="5">
        <v>150000</v>
      </c>
      <c r="N62" s="3">
        <f t="shared" si="7"/>
        <v>-990000.00000000012</v>
      </c>
      <c r="O62" s="5">
        <v>150000</v>
      </c>
      <c r="P62" s="3">
        <f t="shared" si="8"/>
        <v>-990000.00000000012</v>
      </c>
      <c r="Q62" s="3">
        <f t="shared" si="3"/>
        <v>0</v>
      </c>
      <c r="R62" s="1" t="s">
        <v>19</v>
      </c>
      <c r="T62" s="27" t="str">
        <f t="shared" si="9"/>
        <v/>
      </c>
      <c r="U62" s="1" t="str">
        <f t="shared" si="5"/>
        <v/>
      </c>
    </row>
    <row r="63" spans="2:21" hidden="1">
      <c r="B63" s="1">
        <f t="shared" si="6"/>
        <v>59</v>
      </c>
      <c r="C63" s="2">
        <v>45826</v>
      </c>
      <c r="D63" s="2" t="str">
        <f t="shared" si="0"/>
        <v>2025년</v>
      </c>
      <c r="E63" s="1" t="str">
        <f t="shared" si="1"/>
        <v>6월</v>
      </c>
      <c r="F63" s="1" t="str">
        <f t="shared" si="2"/>
        <v>2025년6월</v>
      </c>
      <c r="G63" s="1" t="s">
        <v>297</v>
      </c>
      <c r="H63" s="1" t="str">
        <f>IFERROR((VLOOKUP(G63,Backdata!G:H,2,0)),"")</f>
        <v>138-81-32669</v>
      </c>
      <c r="I63" s="1" t="s">
        <v>40</v>
      </c>
      <c r="J63" s="1" t="s">
        <v>41</v>
      </c>
      <c r="K63" s="1" t="s">
        <v>42</v>
      </c>
      <c r="L63" s="1">
        <v>1</v>
      </c>
      <c r="M63" s="5">
        <v>3560000</v>
      </c>
      <c r="N63" s="3">
        <f t="shared" si="7"/>
        <v>3916000.0000000005</v>
      </c>
      <c r="O63" s="5">
        <v>3200000</v>
      </c>
      <c r="P63" s="3">
        <f t="shared" si="8"/>
        <v>3520000.0000000005</v>
      </c>
      <c r="Q63" s="3">
        <f t="shared" si="3"/>
        <v>396000</v>
      </c>
      <c r="R63" s="1" t="s">
        <v>19</v>
      </c>
      <c r="T63" s="27">
        <f t="shared" si="9"/>
        <v>45826</v>
      </c>
      <c r="U63" s="1" t="str">
        <f t="shared" si="5"/>
        <v>완료</v>
      </c>
    </row>
    <row r="64" spans="2:21">
      <c r="B64" s="1">
        <f t="shared" si="6"/>
        <v>60</v>
      </c>
      <c r="C64" s="2">
        <v>45827</v>
      </c>
      <c r="D64" s="2" t="str">
        <f t="shared" si="0"/>
        <v>2025년</v>
      </c>
      <c r="E64" s="1" t="str">
        <f t="shared" si="1"/>
        <v>6월</v>
      </c>
      <c r="F64" s="1" t="str">
        <f t="shared" si="2"/>
        <v>2025년6월</v>
      </c>
      <c r="G64" s="1" t="s">
        <v>272</v>
      </c>
      <c r="H64" s="1" t="str">
        <f>IFERROR((VLOOKUP(G64,Backdata!G:H,2,0)),"")</f>
        <v>119-85-35038</v>
      </c>
      <c r="I64" s="1" t="s">
        <v>29</v>
      </c>
      <c r="J64" s="1" t="s">
        <v>53</v>
      </c>
      <c r="K64" s="1" t="s">
        <v>130</v>
      </c>
      <c r="L64" s="1">
        <v>1</v>
      </c>
      <c r="M64" s="5">
        <v>15500000</v>
      </c>
      <c r="N64" s="3">
        <f t="shared" si="7"/>
        <v>17050000</v>
      </c>
      <c r="O64" s="5"/>
      <c r="P64" s="3">
        <f t="shared" si="8"/>
        <v>0</v>
      </c>
      <c r="Q64" s="3">
        <f t="shared" si="3"/>
        <v>17050000</v>
      </c>
      <c r="R64" s="1" t="s">
        <v>19</v>
      </c>
      <c r="T64" s="27">
        <f t="shared" si="9"/>
        <v>45827</v>
      </c>
      <c r="U64" s="1" t="str">
        <f t="shared" si="5"/>
        <v>완료</v>
      </c>
    </row>
    <row r="65" spans="2:21">
      <c r="B65" s="1">
        <f t="shared" si="6"/>
        <v>61</v>
      </c>
      <c r="C65" s="2">
        <v>45832</v>
      </c>
      <c r="D65" s="2" t="str">
        <f t="shared" si="0"/>
        <v>2025년</v>
      </c>
      <c r="E65" s="1" t="str">
        <f t="shared" si="1"/>
        <v>6월</v>
      </c>
      <c r="F65" s="1" t="str">
        <f t="shared" si="2"/>
        <v>2025년6월</v>
      </c>
      <c r="G65" s="1" t="s">
        <v>289</v>
      </c>
      <c r="H65" s="1" t="str">
        <f>IFERROR((VLOOKUP(G65,Backdata!G:H,2,0)),"")</f>
        <v>428-86-01083</v>
      </c>
      <c r="I65" s="1" t="s">
        <v>9</v>
      </c>
      <c r="J65" s="1" t="s">
        <v>61</v>
      </c>
      <c r="K65" s="1" t="s">
        <v>101</v>
      </c>
      <c r="L65" s="1">
        <v>4</v>
      </c>
      <c r="M65" s="5">
        <v>270000</v>
      </c>
      <c r="N65" s="3">
        <f t="shared" si="7"/>
        <v>1188000</v>
      </c>
      <c r="O65" s="5">
        <v>250000</v>
      </c>
      <c r="P65" s="3">
        <f t="shared" si="8"/>
        <v>1100000</v>
      </c>
      <c r="Q65" s="3">
        <f t="shared" si="3"/>
        <v>88000</v>
      </c>
      <c r="R65" s="1" t="s">
        <v>19</v>
      </c>
      <c r="T65" s="27" t="str">
        <f t="shared" si="9"/>
        <v/>
      </c>
      <c r="U65" s="1" t="str">
        <f t="shared" si="5"/>
        <v/>
      </c>
    </row>
    <row r="66" spans="2:21">
      <c r="B66" s="1">
        <f t="shared" si="6"/>
        <v>62</v>
      </c>
      <c r="C66" s="2">
        <v>45833</v>
      </c>
      <c r="D66" s="2" t="str">
        <f t="shared" si="0"/>
        <v>2025년</v>
      </c>
      <c r="E66" s="1" t="str">
        <f t="shared" si="1"/>
        <v>6월</v>
      </c>
      <c r="F66" s="1" t="str">
        <f t="shared" si="2"/>
        <v>2025년6월</v>
      </c>
      <c r="G66" s="1" t="s">
        <v>49</v>
      </c>
      <c r="H66" s="1" t="str">
        <f>IFERROR((VLOOKUP(G66,Backdata!G:H,2,0)),"")</f>
        <v>134-12-98663</v>
      </c>
      <c r="I66" s="1" t="s">
        <v>9</v>
      </c>
      <c r="J66" s="1" t="s">
        <v>66</v>
      </c>
      <c r="K66" s="1" t="s">
        <v>55</v>
      </c>
      <c r="L66" s="1">
        <v>2</v>
      </c>
      <c r="M66" s="5">
        <v>600000</v>
      </c>
      <c r="N66" s="3">
        <f t="shared" si="7"/>
        <v>1320000</v>
      </c>
      <c r="O66" s="5">
        <v>500000</v>
      </c>
      <c r="P66" s="3">
        <f t="shared" si="8"/>
        <v>1100000</v>
      </c>
      <c r="Q66" s="3">
        <f t="shared" si="3"/>
        <v>220000</v>
      </c>
      <c r="R66" s="1" t="s">
        <v>19</v>
      </c>
      <c r="T66" s="27" t="str">
        <f t="shared" si="9"/>
        <v/>
      </c>
      <c r="U66" s="1" t="str">
        <f t="shared" si="5"/>
        <v/>
      </c>
    </row>
    <row r="67" spans="2:21">
      <c r="B67" s="1">
        <f t="shared" si="6"/>
        <v>63</v>
      </c>
      <c r="C67" s="2">
        <v>45835</v>
      </c>
      <c r="D67" s="2" t="str">
        <f t="shared" si="0"/>
        <v>2025년</v>
      </c>
      <c r="E67" s="1" t="str">
        <f t="shared" si="1"/>
        <v>6월</v>
      </c>
      <c r="F67" s="1" t="str">
        <f t="shared" si="2"/>
        <v>2025년6월</v>
      </c>
      <c r="G67" s="1" t="s">
        <v>289</v>
      </c>
      <c r="H67" s="1" t="str">
        <f>IFERROR((VLOOKUP(G67,Backdata!G:H,2,0)),"")</f>
        <v>428-86-01083</v>
      </c>
      <c r="I67" s="1" t="s">
        <v>9</v>
      </c>
      <c r="J67" s="1" t="s">
        <v>102</v>
      </c>
      <c r="K67" s="1" t="s">
        <v>103</v>
      </c>
      <c r="L67" s="1">
        <v>4</v>
      </c>
      <c r="M67" s="5">
        <v>200000</v>
      </c>
      <c r="N67" s="3">
        <f t="shared" si="7"/>
        <v>880000.00000000012</v>
      </c>
      <c r="O67" s="5">
        <v>180000</v>
      </c>
      <c r="P67" s="3">
        <f t="shared" si="8"/>
        <v>792000.00000000012</v>
      </c>
      <c r="Q67" s="3">
        <f t="shared" si="3"/>
        <v>88000</v>
      </c>
      <c r="R67" s="1" t="s">
        <v>19</v>
      </c>
      <c r="T67" s="27" t="str">
        <f t="shared" si="9"/>
        <v/>
      </c>
      <c r="U67" s="1" t="str">
        <f t="shared" si="5"/>
        <v/>
      </c>
    </row>
    <row r="68" spans="2:21" hidden="1">
      <c r="B68" s="1">
        <f t="shared" si="6"/>
        <v>64</v>
      </c>
      <c r="C68" s="2">
        <v>45838</v>
      </c>
      <c r="D68" s="2" t="str">
        <f t="shared" si="0"/>
        <v>2025년</v>
      </c>
      <c r="E68" s="1" t="str">
        <f t="shared" si="1"/>
        <v>6월</v>
      </c>
      <c r="F68" s="1" t="str">
        <f t="shared" si="2"/>
        <v>2025년6월</v>
      </c>
      <c r="G68" s="1" t="s">
        <v>294</v>
      </c>
      <c r="H68" s="1" t="str">
        <f>IFERROR((VLOOKUP(G68,Backdata!G:H,2,0)),"")</f>
        <v>403-81-72982</v>
      </c>
      <c r="I68" s="1" t="s">
        <v>46</v>
      </c>
      <c r="J68" s="1" t="s">
        <v>30</v>
      </c>
      <c r="K68" s="1" t="s">
        <v>129</v>
      </c>
      <c r="L68" s="1">
        <v>1</v>
      </c>
      <c r="M68" s="5">
        <v>320000</v>
      </c>
      <c r="N68" s="3">
        <f t="shared" si="7"/>
        <v>352000</v>
      </c>
      <c r="O68" s="5">
        <v>580000</v>
      </c>
      <c r="P68" s="3">
        <f t="shared" si="8"/>
        <v>638000</v>
      </c>
      <c r="Q68" s="3">
        <f t="shared" si="3"/>
        <v>-286000</v>
      </c>
      <c r="R68" s="1" t="s">
        <v>19</v>
      </c>
      <c r="T68" s="27">
        <f t="shared" si="9"/>
        <v>45838</v>
      </c>
      <c r="U68" s="1" t="str">
        <f t="shared" si="5"/>
        <v>완료</v>
      </c>
    </row>
    <row r="69" spans="2:21" hidden="1">
      <c r="B69" s="1">
        <f t="shared" si="6"/>
        <v>65</v>
      </c>
      <c r="C69" s="2">
        <v>45838</v>
      </c>
      <c r="D69" s="2" t="str">
        <f t="shared" ref="D69:D132" si="10">IF((C69=""),"",(YEAR(C69)&amp;"년"))</f>
        <v>2025년</v>
      </c>
      <c r="E69" s="1" t="str">
        <f t="shared" ref="E69:E132" si="11">IF((C69=""),"",(MONTH(C69)&amp;"월"))</f>
        <v>6월</v>
      </c>
      <c r="F69" s="1" t="str">
        <f t="shared" ref="F69:F132" si="12">CONCATENATE(D69,E69)</f>
        <v>2025년6월</v>
      </c>
      <c r="G69" s="1" t="s">
        <v>235</v>
      </c>
      <c r="H69" s="1" t="str">
        <f>IFERROR((VLOOKUP(G69,Backdata!G:H,2,0)),"")</f>
        <v>235-86-01235</v>
      </c>
      <c r="I69" s="1" t="s">
        <v>46</v>
      </c>
      <c r="J69" s="1" t="s">
        <v>30</v>
      </c>
      <c r="K69" s="1" t="s">
        <v>31</v>
      </c>
      <c r="L69" s="1">
        <v>1</v>
      </c>
      <c r="M69" s="5">
        <v>1000000</v>
      </c>
      <c r="N69" s="3">
        <f t="shared" si="7"/>
        <v>1100000</v>
      </c>
      <c r="O69" s="5"/>
      <c r="P69" s="3">
        <f t="shared" si="8"/>
        <v>0</v>
      </c>
      <c r="Q69" s="3">
        <f t="shared" ref="Q69:Q132" si="13">N69-P69</f>
        <v>1100000</v>
      </c>
      <c r="R69" s="1" t="s">
        <v>19</v>
      </c>
      <c r="T69" s="27">
        <f t="shared" ref="T69:T100" si="14">IF(OR(I69="타이어",I69=""),"",C69)</f>
        <v>45838</v>
      </c>
      <c r="U69" s="1" t="str">
        <f t="shared" ref="U69:U132" si="15">IF(T69="","","완료")</f>
        <v>완료</v>
      </c>
    </row>
    <row r="70" spans="2:21" hidden="1">
      <c r="B70" s="1">
        <f t="shared" ref="B70:B133" si="16">B69+1</f>
        <v>66</v>
      </c>
      <c r="C70" s="2">
        <v>45843</v>
      </c>
      <c r="D70" s="2" t="str">
        <f t="shared" si="10"/>
        <v>2025년</v>
      </c>
      <c r="E70" s="1" t="str">
        <f t="shared" si="11"/>
        <v>7월</v>
      </c>
      <c r="F70" s="1" t="str">
        <f t="shared" si="12"/>
        <v>2025년7월</v>
      </c>
      <c r="G70" s="1" t="s">
        <v>235</v>
      </c>
      <c r="H70" s="1" t="str">
        <f>IFERROR((VLOOKUP(G70,Backdata!G:H,2,0)),"")</f>
        <v>235-86-01235</v>
      </c>
      <c r="I70" s="1" t="s">
        <v>46</v>
      </c>
      <c r="J70" s="1" t="s">
        <v>131</v>
      </c>
      <c r="K70" s="1" t="s">
        <v>47</v>
      </c>
      <c r="L70" s="1">
        <v>1</v>
      </c>
      <c r="M70" s="5">
        <v>1450000</v>
      </c>
      <c r="N70" s="3">
        <f t="shared" ref="N70:N133" si="17">M70*L70*1.1</f>
        <v>1595000.0000000002</v>
      </c>
      <c r="O70" s="5">
        <v>1000000</v>
      </c>
      <c r="P70" s="3">
        <f t="shared" ref="P70:P133" si="18">O70*L70*1.1</f>
        <v>1100000</v>
      </c>
      <c r="Q70" s="3">
        <f t="shared" si="13"/>
        <v>495000.00000000023</v>
      </c>
      <c r="R70" s="1" t="s">
        <v>19</v>
      </c>
      <c r="T70" s="27">
        <f t="shared" si="14"/>
        <v>45843</v>
      </c>
      <c r="U70" s="1" t="str">
        <f t="shared" si="15"/>
        <v>완료</v>
      </c>
    </row>
    <row r="71" spans="2:21" hidden="1">
      <c r="B71" s="1">
        <f t="shared" si="16"/>
        <v>67</v>
      </c>
      <c r="C71" s="2">
        <v>45845</v>
      </c>
      <c r="D71" s="2" t="str">
        <f t="shared" si="10"/>
        <v>2025년</v>
      </c>
      <c r="E71" s="1" t="str">
        <f t="shared" si="11"/>
        <v>7월</v>
      </c>
      <c r="F71" s="1" t="str">
        <f t="shared" si="12"/>
        <v>2025년7월</v>
      </c>
      <c r="G71" s="1" t="s">
        <v>224</v>
      </c>
      <c r="H71" s="1" t="str">
        <f>IFERROR((VLOOKUP(G71,Backdata!G:H,2,0)),"")</f>
        <v>318-81-11047</v>
      </c>
      <c r="I71" s="1" t="s">
        <v>46</v>
      </c>
      <c r="J71" s="1" t="s">
        <v>53</v>
      </c>
      <c r="K71" s="1" t="s">
        <v>52</v>
      </c>
      <c r="L71" s="1">
        <v>1</v>
      </c>
      <c r="M71" s="5">
        <v>630000</v>
      </c>
      <c r="N71" s="3">
        <f t="shared" si="17"/>
        <v>693000</v>
      </c>
      <c r="O71" s="5">
        <v>580000</v>
      </c>
      <c r="P71" s="3">
        <f t="shared" si="18"/>
        <v>638000</v>
      </c>
      <c r="Q71" s="3">
        <f t="shared" si="13"/>
        <v>55000</v>
      </c>
      <c r="R71" s="1" t="s">
        <v>19</v>
      </c>
      <c r="T71" s="27">
        <f t="shared" si="14"/>
        <v>45845</v>
      </c>
      <c r="U71" s="1" t="str">
        <f t="shared" si="15"/>
        <v>완료</v>
      </c>
    </row>
    <row r="72" spans="2:21">
      <c r="B72" s="1">
        <f t="shared" si="16"/>
        <v>68</v>
      </c>
      <c r="C72" s="2">
        <v>45846</v>
      </c>
      <c r="D72" s="2" t="str">
        <f t="shared" si="10"/>
        <v>2025년</v>
      </c>
      <c r="E72" s="1" t="str">
        <f t="shared" si="11"/>
        <v>7월</v>
      </c>
      <c r="F72" s="1" t="str">
        <f t="shared" si="12"/>
        <v>2025년7월</v>
      </c>
      <c r="G72" s="1" t="s">
        <v>289</v>
      </c>
      <c r="H72" s="1" t="str">
        <f>IFERROR((VLOOKUP(G72,Backdata!G:H,2,0)),"")</f>
        <v>428-86-01083</v>
      </c>
      <c r="I72" s="1" t="s">
        <v>9</v>
      </c>
      <c r="J72" s="1" t="s">
        <v>12</v>
      </c>
      <c r="K72" s="1" t="s">
        <v>23</v>
      </c>
      <c r="L72" s="1">
        <v>2</v>
      </c>
      <c r="M72" s="5">
        <v>210000</v>
      </c>
      <c r="N72" s="3">
        <f t="shared" si="17"/>
        <v>462000.00000000006</v>
      </c>
      <c r="O72" s="5">
        <v>200000</v>
      </c>
      <c r="P72" s="3">
        <f t="shared" si="18"/>
        <v>440000.00000000006</v>
      </c>
      <c r="Q72" s="3">
        <f t="shared" si="13"/>
        <v>22000</v>
      </c>
      <c r="R72" s="1" t="s">
        <v>19</v>
      </c>
      <c r="T72" s="27" t="str">
        <f t="shared" si="14"/>
        <v/>
      </c>
      <c r="U72" s="1" t="str">
        <f t="shared" si="15"/>
        <v/>
      </c>
    </row>
    <row r="73" spans="2:21">
      <c r="B73" s="1">
        <f t="shared" si="16"/>
        <v>69</v>
      </c>
      <c r="C73" s="2">
        <v>45846</v>
      </c>
      <c r="D73" s="2" t="str">
        <f t="shared" si="10"/>
        <v>2025년</v>
      </c>
      <c r="E73" s="1" t="str">
        <f t="shared" si="11"/>
        <v>7월</v>
      </c>
      <c r="F73" s="1" t="str">
        <f t="shared" si="12"/>
        <v>2025년7월</v>
      </c>
      <c r="G73" s="1" t="s">
        <v>289</v>
      </c>
      <c r="H73" s="1" t="str">
        <f>IFERROR((VLOOKUP(G73,Backdata!G:H,2,0)),"")</f>
        <v>428-86-01083</v>
      </c>
      <c r="I73" s="1" t="s">
        <v>9</v>
      </c>
      <c r="J73" s="1" t="s">
        <v>54</v>
      </c>
      <c r="K73" s="1" t="s">
        <v>23</v>
      </c>
      <c r="L73" s="1">
        <v>2</v>
      </c>
      <c r="M73" s="5">
        <v>110000</v>
      </c>
      <c r="N73" s="3">
        <f t="shared" si="17"/>
        <v>242000.00000000003</v>
      </c>
      <c r="O73" s="5">
        <v>100000</v>
      </c>
      <c r="P73" s="3">
        <f t="shared" si="18"/>
        <v>220000.00000000003</v>
      </c>
      <c r="Q73" s="3">
        <f t="shared" si="13"/>
        <v>22000</v>
      </c>
      <c r="R73" s="1" t="s">
        <v>19</v>
      </c>
      <c r="T73" s="27" t="str">
        <f t="shared" si="14"/>
        <v/>
      </c>
      <c r="U73" s="1" t="str">
        <f t="shared" si="15"/>
        <v/>
      </c>
    </row>
    <row r="74" spans="2:21">
      <c r="B74" s="1">
        <f t="shared" si="16"/>
        <v>70</v>
      </c>
      <c r="C74" s="2">
        <v>45847</v>
      </c>
      <c r="D74" s="2" t="str">
        <f t="shared" si="10"/>
        <v>2025년</v>
      </c>
      <c r="E74" s="1" t="str">
        <f t="shared" si="11"/>
        <v>7월</v>
      </c>
      <c r="F74" s="1" t="str">
        <f t="shared" si="12"/>
        <v>2025년7월</v>
      </c>
      <c r="G74" s="1" t="s">
        <v>289</v>
      </c>
      <c r="H74" s="1" t="str">
        <f>IFERROR((VLOOKUP(G74,Backdata!G:H,2,0)),"")</f>
        <v>428-86-01083</v>
      </c>
      <c r="I74" s="1" t="s">
        <v>9</v>
      </c>
      <c r="J74" s="1" t="s">
        <v>105</v>
      </c>
      <c r="K74" s="1" t="s">
        <v>101</v>
      </c>
      <c r="L74" s="1">
        <v>4</v>
      </c>
      <c r="M74" s="5">
        <v>370000</v>
      </c>
      <c r="N74" s="3">
        <f t="shared" si="17"/>
        <v>1628000.0000000002</v>
      </c>
      <c r="O74" s="5">
        <v>360000</v>
      </c>
      <c r="P74" s="3">
        <f t="shared" si="18"/>
        <v>1584000.0000000002</v>
      </c>
      <c r="Q74" s="3">
        <f t="shared" si="13"/>
        <v>44000</v>
      </c>
      <c r="R74" s="1" t="s">
        <v>19</v>
      </c>
      <c r="T74" s="27" t="str">
        <f t="shared" si="14"/>
        <v/>
      </c>
      <c r="U74" s="1" t="str">
        <f t="shared" si="15"/>
        <v/>
      </c>
    </row>
    <row r="75" spans="2:21">
      <c r="B75" s="1">
        <f t="shared" si="16"/>
        <v>71</v>
      </c>
      <c r="C75" s="2">
        <v>45847</v>
      </c>
      <c r="D75" s="2" t="str">
        <f t="shared" si="10"/>
        <v>2025년</v>
      </c>
      <c r="E75" s="1" t="str">
        <f t="shared" si="11"/>
        <v>7월</v>
      </c>
      <c r="F75" s="1" t="str">
        <f t="shared" si="12"/>
        <v>2025년7월</v>
      </c>
      <c r="G75" s="1" t="s">
        <v>289</v>
      </c>
      <c r="H75" s="1" t="str">
        <f>IFERROR((VLOOKUP(G75,Backdata!G:H,2,0)),"")</f>
        <v>428-86-01083</v>
      </c>
      <c r="I75" s="1" t="s">
        <v>9</v>
      </c>
      <c r="J75" s="1" t="s">
        <v>12</v>
      </c>
      <c r="K75" s="1" t="s">
        <v>23</v>
      </c>
      <c r="L75" s="1">
        <v>2</v>
      </c>
      <c r="M75" s="5">
        <v>210000</v>
      </c>
      <c r="N75" s="3">
        <f t="shared" si="17"/>
        <v>462000.00000000006</v>
      </c>
      <c r="O75" s="5">
        <v>200000</v>
      </c>
      <c r="P75" s="3">
        <f t="shared" si="18"/>
        <v>440000.00000000006</v>
      </c>
      <c r="Q75" s="3">
        <f t="shared" si="13"/>
        <v>22000</v>
      </c>
      <c r="R75" s="1" t="s">
        <v>19</v>
      </c>
      <c r="T75" s="27" t="str">
        <f t="shared" si="14"/>
        <v/>
      </c>
      <c r="U75" s="1" t="str">
        <f t="shared" si="15"/>
        <v/>
      </c>
    </row>
    <row r="76" spans="2:21">
      <c r="B76" s="1">
        <f t="shared" si="16"/>
        <v>72</v>
      </c>
      <c r="C76" s="2">
        <v>45847</v>
      </c>
      <c r="D76" s="2" t="str">
        <f t="shared" si="10"/>
        <v>2025년</v>
      </c>
      <c r="E76" s="1" t="str">
        <f t="shared" si="11"/>
        <v>7월</v>
      </c>
      <c r="F76" s="1" t="str">
        <f t="shared" si="12"/>
        <v>2025년7월</v>
      </c>
      <c r="G76" s="1" t="s">
        <v>289</v>
      </c>
      <c r="H76" s="1" t="str">
        <f>IFERROR((VLOOKUP(G76,Backdata!G:H,2,0)),"")</f>
        <v>428-86-01083</v>
      </c>
      <c r="I76" s="1" t="s">
        <v>9</v>
      </c>
      <c r="J76" s="1" t="s">
        <v>12</v>
      </c>
      <c r="K76" s="1" t="s">
        <v>23</v>
      </c>
      <c r="L76" s="1">
        <v>2</v>
      </c>
      <c r="M76" s="5">
        <v>210000</v>
      </c>
      <c r="N76" s="3">
        <f t="shared" si="17"/>
        <v>462000.00000000006</v>
      </c>
      <c r="O76" s="5">
        <v>200000</v>
      </c>
      <c r="P76" s="3">
        <f t="shared" si="18"/>
        <v>440000.00000000006</v>
      </c>
      <c r="Q76" s="3">
        <f t="shared" si="13"/>
        <v>22000</v>
      </c>
      <c r="R76" s="1" t="s">
        <v>19</v>
      </c>
      <c r="T76" s="27" t="str">
        <f t="shared" si="14"/>
        <v/>
      </c>
      <c r="U76" s="1" t="str">
        <f t="shared" si="15"/>
        <v/>
      </c>
    </row>
    <row r="77" spans="2:21">
      <c r="B77" s="1">
        <f t="shared" si="16"/>
        <v>73</v>
      </c>
      <c r="C77" s="2">
        <v>45847</v>
      </c>
      <c r="D77" s="2" t="str">
        <f t="shared" si="10"/>
        <v>2025년</v>
      </c>
      <c r="E77" s="1" t="str">
        <f t="shared" si="11"/>
        <v>7월</v>
      </c>
      <c r="F77" s="1" t="str">
        <f t="shared" si="12"/>
        <v>2025년7월</v>
      </c>
      <c r="G77" s="1" t="s">
        <v>289</v>
      </c>
      <c r="H77" s="1" t="str">
        <f>IFERROR((VLOOKUP(G77,Backdata!G:H,2,0)),"")</f>
        <v>428-86-01083</v>
      </c>
      <c r="I77" s="1" t="s">
        <v>9</v>
      </c>
      <c r="J77" s="1" t="s">
        <v>104</v>
      </c>
      <c r="K77" s="1" t="s">
        <v>23</v>
      </c>
      <c r="L77" s="1">
        <v>1</v>
      </c>
      <c r="M77" s="5">
        <v>16000</v>
      </c>
      <c r="N77" s="3">
        <f t="shared" si="17"/>
        <v>17600</v>
      </c>
      <c r="O77" s="5"/>
      <c r="P77" s="3">
        <f t="shared" si="18"/>
        <v>0</v>
      </c>
      <c r="Q77" s="3">
        <f t="shared" si="13"/>
        <v>17600</v>
      </c>
      <c r="R77" s="1" t="s">
        <v>19</v>
      </c>
      <c r="T77" s="27" t="str">
        <f t="shared" si="14"/>
        <v/>
      </c>
      <c r="U77" s="1" t="str">
        <f t="shared" si="15"/>
        <v/>
      </c>
    </row>
    <row r="78" spans="2:21">
      <c r="B78" s="1">
        <f t="shared" si="16"/>
        <v>74</v>
      </c>
      <c r="C78" s="2">
        <v>45854</v>
      </c>
      <c r="D78" s="2" t="str">
        <f t="shared" si="10"/>
        <v>2025년</v>
      </c>
      <c r="E78" s="1" t="str">
        <f t="shared" si="11"/>
        <v>7월</v>
      </c>
      <c r="F78" s="1" t="str">
        <f t="shared" si="12"/>
        <v>2025년7월</v>
      </c>
      <c r="G78" s="1" t="s">
        <v>49</v>
      </c>
      <c r="H78" s="1" t="str">
        <f>IFERROR((VLOOKUP(G78,Backdata!G:H,2,0)),"")</f>
        <v>134-12-98663</v>
      </c>
      <c r="I78" s="1" t="s">
        <v>9</v>
      </c>
      <c r="J78" s="1" t="s">
        <v>66</v>
      </c>
      <c r="K78" s="1" t="s">
        <v>51</v>
      </c>
      <c r="L78" s="1">
        <v>2</v>
      </c>
      <c r="M78" s="5">
        <v>240000</v>
      </c>
      <c r="N78" s="3">
        <f t="shared" si="17"/>
        <v>528000</v>
      </c>
      <c r="O78" s="5">
        <v>220000</v>
      </c>
      <c r="P78" s="3">
        <f t="shared" si="18"/>
        <v>484000.00000000006</v>
      </c>
      <c r="Q78" s="3">
        <f t="shared" si="13"/>
        <v>43999.999999999942</v>
      </c>
      <c r="R78" s="1" t="s">
        <v>19</v>
      </c>
      <c r="T78" s="27" t="str">
        <f t="shared" si="14"/>
        <v/>
      </c>
      <c r="U78" s="1" t="str">
        <f t="shared" si="15"/>
        <v/>
      </c>
    </row>
    <row r="79" spans="2:21" hidden="1">
      <c r="B79" s="1">
        <f t="shared" si="16"/>
        <v>75</v>
      </c>
      <c r="C79" s="2">
        <v>45854</v>
      </c>
      <c r="D79" s="2" t="str">
        <f t="shared" si="10"/>
        <v>2025년</v>
      </c>
      <c r="E79" s="1" t="str">
        <f t="shared" si="11"/>
        <v>7월</v>
      </c>
      <c r="F79" s="1" t="str">
        <f t="shared" si="12"/>
        <v>2025년7월</v>
      </c>
      <c r="G79" s="1" t="s">
        <v>235</v>
      </c>
      <c r="H79" s="1" t="str">
        <f>IFERROR((VLOOKUP(G79,Backdata!G:H,2,0)),"")</f>
        <v>235-86-01235</v>
      </c>
      <c r="I79" s="1" t="s">
        <v>46</v>
      </c>
      <c r="J79" s="1" t="s">
        <v>30</v>
      </c>
      <c r="K79" s="1" t="s">
        <v>31</v>
      </c>
      <c r="L79" s="1">
        <v>2</v>
      </c>
      <c r="M79" s="5">
        <v>1100000</v>
      </c>
      <c r="N79" s="3">
        <f t="shared" si="17"/>
        <v>2420000</v>
      </c>
      <c r="O79" s="5">
        <v>800000</v>
      </c>
      <c r="P79" s="3">
        <f t="shared" si="18"/>
        <v>1760000.0000000002</v>
      </c>
      <c r="Q79" s="3">
        <f t="shared" si="13"/>
        <v>659999.99999999977</v>
      </c>
      <c r="R79" s="1" t="s">
        <v>19</v>
      </c>
      <c r="T79" s="27">
        <f t="shared" si="14"/>
        <v>45854</v>
      </c>
      <c r="U79" s="1" t="str">
        <f t="shared" si="15"/>
        <v>완료</v>
      </c>
    </row>
    <row r="80" spans="2:21">
      <c r="B80" s="1">
        <f t="shared" si="16"/>
        <v>76</v>
      </c>
      <c r="C80" s="2">
        <v>45855</v>
      </c>
      <c r="D80" s="2" t="str">
        <f t="shared" si="10"/>
        <v>2025년</v>
      </c>
      <c r="E80" s="1" t="str">
        <f t="shared" si="11"/>
        <v>7월</v>
      </c>
      <c r="F80" s="1" t="str">
        <f t="shared" si="12"/>
        <v>2025년7월</v>
      </c>
      <c r="G80" s="1" t="s">
        <v>289</v>
      </c>
      <c r="H80" s="1" t="str">
        <f>IFERROR((VLOOKUP(G80,Backdata!G:H,2,0)),"")</f>
        <v>428-86-01083</v>
      </c>
      <c r="I80" s="1" t="s">
        <v>9</v>
      </c>
      <c r="J80" s="1" t="s">
        <v>12</v>
      </c>
      <c r="K80" s="1" t="s">
        <v>22</v>
      </c>
      <c r="L80" s="1">
        <v>2</v>
      </c>
      <c r="M80" s="5">
        <v>168000</v>
      </c>
      <c r="N80" s="3">
        <f t="shared" si="17"/>
        <v>369600.00000000006</v>
      </c>
      <c r="O80" s="5">
        <v>160000</v>
      </c>
      <c r="P80" s="3">
        <f t="shared" si="18"/>
        <v>352000</v>
      </c>
      <c r="Q80" s="3">
        <f t="shared" si="13"/>
        <v>17600.000000000058</v>
      </c>
      <c r="R80" s="1" t="s">
        <v>19</v>
      </c>
      <c r="T80" s="27" t="str">
        <f t="shared" si="14"/>
        <v/>
      </c>
      <c r="U80" s="1" t="str">
        <f t="shared" si="15"/>
        <v/>
      </c>
    </row>
    <row r="81" spans="2:21">
      <c r="B81" s="1">
        <f t="shared" si="16"/>
        <v>77</v>
      </c>
      <c r="C81" s="2">
        <v>45855</v>
      </c>
      <c r="D81" s="2" t="str">
        <f t="shared" si="10"/>
        <v>2025년</v>
      </c>
      <c r="E81" s="1" t="str">
        <f t="shared" si="11"/>
        <v>7월</v>
      </c>
      <c r="F81" s="1" t="str">
        <f t="shared" si="12"/>
        <v>2025년7월</v>
      </c>
      <c r="G81" s="1" t="s">
        <v>289</v>
      </c>
      <c r="H81" s="1" t="str">
        <f>IFERROR((VLOOKUP(G81,Backdata!G:H,2,0)),"")</f>
        <v>428-86-01083</v>
      </c>
      <c r="I81" s="1" t="s">
        <v>9</v>
      </c>
      <c r="J81" s="1" t="s">
        <v>104</v>
      </c>
      <c r="K81" s="1" t="s">
        <v>22</v>
      </c>
      <c r="L81" s="1">
        <v>2</v>
      </c>
      <c r="M81" s="5">
        <v>8000</v>
      </c>
      <c r="N81" s="3">
        <f t="shared" si="17"/>
        <v>17600</v>
      </c>
      <c r="O81" s="5"/>
      <c r="P81" s="3">
        <f t="shared" si="18"/>
        <v>0</v>
      </c>
      <c r="Q81" s="3">
        <f t="shared" si="13"/>
        <v>17600</v>
      </c>
      <c r="R81" s="1" t="s">
        <v>19</v>
      </c>
      <c r="T81" s="27" t="str">
        <f t="shared" si="14"/>
        <v/>
      </c>
      <c r="U81" s="1" t="str">
        <f t="shared" si="15"/>
        <v/>
      </c>
    </row>
    <row r="82" spans="2:21">
      <c r="B82" s="1">
        <f t="shared" si="16"/>
        <v>78</v>
      </c>
      <c r="C82" s="2">
        <v>45856</v>
      </c>
      <c r="D82" s="2" t="str">
        <f t="shared" si="10"/>
        <v>2025년</v>
      </c>
      <c r="E82" s="1" t="str">
        <f t="shared" si="11"/>
        <v>7월</v>
      </c>
      <c r="F82" s="1" t="str">
        <f t="shared" si="12"/>
        <v>2025년7월</v>
      </c>
      <c r="G82" s="1" t="s">
        <v>175</v>
      </c>
      <c r="H82" s="1" t="str">
        <f>IFERROR((VLOOKUP(G82,Backdata!G:H,2,0)),"")</f>
        <v>301-86-32786</v>
      </c>
      <c r="I82" s="1" t="s">
        <v>9</v>
      </c>
      <c r="J82" s="1" t="s">
        <v>12</v>
      </c>
      <c r="K82" s="1" t="s">
        <v>106</v>
      </c>
      <c r="L82" s="1">
        <v>4</v>
      </c>
      <c r="M82" s="5">
        <v>211000</v>
      </c>
      <c r="N82" s="3">
        <f t="shared" si="17"/>
        <v>928400.00000000012</v>
      </c>
      <c r="O82" s="5">
        <v>210000</v>
      </c>
      <c r="P82" s="3">
        <f t="shared" si="18"/>
        <v>924000.00000000012</v>
      </c>
      <c r="Q82" s="3">
        <f t="shared" si="13"/>
        <v>4400</v>
      </c>
      <c r="R82" s="1" t="s">
        <v>19</v>
      </c>
      <c r="T82" s="27" t="str">
        <f t="shared" si="14"/>
        <v/>
      </c>
      <c r="U82" s="1" t="str">
        <f t="shared" si="15"/>
        <v/>
      </c>
    </row>
    <row r="83" spans="2:21">
      <c r="B83" s="1">
        <f t="shared" si="16"/>
        <v>79</v>
      </c>
      <c r="C83" s="2">
        <v>45856</v>
      </c>
      <c r="D83" s="2" t="str">
        <f t="shared" si="10"/>
        <v>2025년</v>
      </c>
      <c r="E83" s="1" t="str">
        <f t="shared" si="11"/>
        <v>7월</v>
      </c>
      <c r="F83" s="1" t="str">
        <f t="shared" si="12"/>
        <v>2025년7월</v>
      </c>
      <c r="G83" s="1" t="s">
        <v>175</v>
      </c>
      <c r="H83" s="1" t="str">
        <f>IFERROR((VLOOKUP(G83,Backdata!G:H,2,0)),"")</f>
        <v>301-86-32786</v>
      </c>
      <c r="I83" s="1" t="s">
        <v>9</v>
      </c>
      <c r="J83" s="1" t="s">
        <v>12</v>
      </c>
      <c r="K83" s="1" t="s">
        <v>67</v>
      </c>
      <c r="L83" s="1">
        <v>4</v>
      </c>
      <c r="M83" s="5">
        <v>274000</v>
      </c>
      <c r="N83" s="3">
        <f t="shared" si="17"/>
        <v>1205600</v>
      </c>
      <c r="O83" s="5">
        <v>270000</v>
      </c>
      <c r="P83" s="3">
        <f t="shared" si="18"/>
        <v>1188000</v>
      </c>
      <c r="Q83" s="3">
        <f t="shared" si="13"/>
        <v>17600</v>
      </c>
      <c r="R83" s="1" t="s">
        <v>19</v>
      </c>
      <c r="T83" s="27" t="str">
        <f t="shared" si="14"/>
        <v/>
      </c>
      <c r="U83" s="1" t="str">
        <f t="shared" si="15"/>
        <v/>
      </c>
    </row>
    <row r="84" spans="2:21">
      <c r="B84" s="1">
        <f t="shared" si="16"/>
        <v>80</v>
      </c>
      <c r="C84" s="2">
        <v>45856</v>
      </c>
      <c r="D84" s="2" t="str">
        <f t="shared" si="10"/>
        <v>2025년</v>
      </c>
      <c r="E84" s="1" t="str">
        <f t="shared" si="11"/>
        <v>7월</v>
      </c>
      <c r="F84" s="1" t="str">
        <f t="shared" si="12"/>
        <v>2025년7월</v>
      </c>
      <c r="G84" s="1" t="s">
        <v>175</v>
      </c>
      <c r="H84" s="1" t="str">
        <f>IFERROR((VLOOKUP(G84,Backdata!G:H,2,0)),"")</f>
        <v>301-86-32786</v>
      </c>
      <c r="I84" s="1" t="s">
        <v>9</v>
      </c>
      <c r="J84" s="1" t="s">
        <v>12</v>
      </c>
      <c r="K84" s="1" t="s">
        <v>22</v>
      </c>
      <c r="L84" s="1">
        <v>4</v>
      </c>
      <c r="M84" s="5">
        <v>158000</v>
      </c>
      <c r="N84" s="3">
        <f t="shared" si="17"/>
        <v>695200</v>
      </c>
      <c r="O84" s="5">
        <v>160000</v>
      </c>
      <c r="P84" s="3">
        <f t="shared" si="18"/>
        <v>704000</v>
      </c>
      <c r="Q84" s="3">
        <f t="shared" si="13"/>
        <v>-8800</v>
      </c>
      <c r="R84" s="1" t="s">
        <v>19</v>
      </c>
      <c r="T84" s="27" t="str">
        <f t="shared" si="14"/>
        <v/>
      </c>
      <c r="U84" s="1" t="str">
        <f t="shared" si="15"/>
        <v/>
      </c>
    </row>
    <row r="85" spans="2:21">
      <c r="B85" s="1">
        <f t="shared" si="16"/>
        <v>81</v>
      </c>
      <c r="C85" s="2">
        <v>45856</v>
      </c>
      <c r="D85" s="2" t="str">
        <f t="shared" si="10"/>
        <v>2025년</v>
      </c>
      <c r="E85" s="1" t="str">
        <f t="shared" si="11"/>
        <v>7월</v>
      </c>
      <c r="F85" s="1" t="str">
        <f t="shared" si="12"/>
        <v>2025년7월</v>
      </c>
      <c r="G85" s="1" t="s">
        <v>175</v>
      </c>
      <c r="H85" s="1" t="str">
        <f>IFERROR((VLOOKUP(G85,Backdata!G:H,2,0)),"")</f>
        <v>301-86-32786</v>
      </c>
      <c r="I85" s="1" t="s">
        <v>9</v>
      </c>
      <c r="J85" s="1" t="s">
        <v>12</v>
      </c>
      <c r="K85" s="1" t="s">
        <v>13</v>
      </c>
      <c r="L85" s="1">
        <v>2</v>
      </c>
      <c r="M85" s="5">
        <v>84000</v>
      </c>
      <c r="N85" s="3">
        <f t="shared" si="17"/>
        <v>184800.00000000003</v>
      </c>
      <c r="O85" s="5">
        <v>80000</v>
      </c>
      <c r="P85" s="3">
        <f t="shared" si="18"/>
        <v>176000</v>
      </c>
      <c r="Q85" s="3">
        <f t="shared" si="13"/>
        <v>8800.0000000000291</v>
      </c>
      <c r="R85" s="1" t="s">
        <v>19</v>
      </c>
      <c r="T85" s="27" t="str">
        <f t="shared" si="14"/>
        <v/>
      </c>
      <c r="U85" s="1" t="str">
        <f t="shared" si="15"/>
        <v/>
      </c>
    </row>
    <row r="86" spans="2:21">
      <c r="B86" s="1">
        <f t="shared" si="16"/>
        <v>82</v>
      </c>
      <c r="C86" s="2">
        <v>45859</v>
      </c>
      <c r="D86" s="2" t="str">
        <f t="shared" si="10"/>
        <v>2025년</v>
      </c>
      <c r="E86" s="1" t="str">
        <f t="shared" si="11"/>
        <v>7월</v>
      </c>
      <c r="F86" s="1" t="str">
        <f t="shared" si="12"/>
        <v>2025년7월</v>
      </c>
      <c r="G86" s="1" t="s">
        <v>175</v>
      </c>
      <c r="H86" s="1" t="str">
        <f>IFERROR((VLOOKUP(G86,Backdata!G:H,2,0)),"")</f>
        <v>301-86-32786</v>
      </c>
      <c r="I86" s="1" t="s">
        <v>9</v>
      </c>
      <c r="J86" s="1" t="s">
        <v>12</v>
      </c>
      <c r="K86" s="1" t="s">
        <v>48</v>
      </c>
      <c r="L86" s="1">
        <v>4</v>
      </c>
      <c r="M86" s="5">
        <v>95000</v>
      </c>
      <c r="N86" s="3">
        <f t="shared" si="17"/>
        <v>418000.00000000006</v>
      </c>
      <c r="O86" s="5">
        <v>100000</v>
      </c>
      <c r="P86" s="3">
        <f t="shared" si="18"/>
        <v>440000.00000000006</v>
      </c>
      <c r="Q86" s="3">
        <f t="shared" si="13"/>
        <v>-22000</v>
      </c>
      <c r="R86" s="1" t="s">
        <v>19</v>
      </c>
      <c r="T86" s="27" t="str">
        <f t="shared" si="14"/>
        <v/>
      </c>
      <c r="U86" s="1" t="str">
        <f t="shared" si="15"/>
        <v/>
      </c>
    </row>
    <row r="87" spans="2:21">
      <c r="B87" s="1">
        <f t="shared" si="16"/>
        <v>83</v>
      </c>
      <c r="C87" s="2">
        <v>45860</v>
      </c>
      <c r="D87" s="2" t="str">
        <f t="shared" si="10"/>
        <v>2025년</v>
      </c>
      <c r="E87" s="1" t="str">
        <f t="shared" si="11"/>
        <v>7월</v>
      </c>
      <c r="F87" s="1" t="str">
        <f t="shared" si="12"/>
        <v>2025년7월</v>
      </c>
      <c r="G87" s="1" t="s">
        <v>289</v>
      </c>
      <c r="H87" s="1" t="str">
        <f>IFERROR((VLOOKUP(G87,Backdata!G:H,2,0)),"")</f>
        <v>428-86-01083</v>
      </c>
      <c r="I87" s="1" t="s">
        <v>9</v>
      </c>
      <c r="J87" s="1" t="s">
        <v>105</v>
      </c>
      <c r="K87" s="1" t="s">
        <v>62</v>
      </c>
      <c r="L87" s="1">
        <v>4</v>
      </c>
      <c r="M87" s="5">
        <v>360000</v>
      </c>
      <c r="N87" s="3">
        <f t="shared" si="17"/>
        <v>1584000.0000000002</v>
      </c>
      <c r="O87" s="5">
        <v>350000</v>
      </c>
      <c r="P87" s="3">
        <f t="shared" si="18"/>
        <v>1540000.0000000002</v>
      </c>
      <c r="Q87" s="3">
        <f t="shared" si="13"/>
        <v>44000</v>
      </c>
      <c r="R87" s="1" t="s">
        <v>19</v>
      </c>
      <c r="T87" s="27" t="str">
        <f t="shared" si="14"/>
        <v/>
      </c>
      <c r="U87" s="1" t="str">
        <f t="shared" si="15"/>
        <v/>
      </c>
    </row>
    <row r="88" spans="2:21">
      <c r="B88" s="1">
        <f t="shared" si="16"/>
        <v>84</v>
      </c>
      <c r="C88" s="2">
        <v>45860</v>
      </c>
      <c r="D88" s="2" t="str">
        <f t="shared" si="10"/>
        <v>2025년</v>
      </c>
      <c r="E88" s="1" t="str">
        <f t="shared" si="11"/>
        <v>7월</v>
      </c>
      <c r="F88" s="1" t="str">
        <f t="shared" si="12"/>
        <v>2025년7월</v>
      </c>
      <c r="G88" s="1" t="s">
        <v>289</v>
      </c>
      <c r="H88" s="1" t="str">
        <f>IFERROR((VLOOKUP(G88,Backdata!G:H,2,0)),"")</f>
        <v>428-86-01083</v>
      </c>
      <c r="I88" s="1" t="s">
        <v>9</v>
      </c>
      <c r="J88" s="1" t="s">
        <v>60</v>
      </c>
      <c r="K88" s="1" t="s">
        <v>62</v>
      </c>
      <c r="L88" s="1">
        <v>-4</v>
      </c>
      <c r="M88" s="5">
        <v>150000</v>
      </c>
      <c r="N88" s="3">
        <f t="shared" si="17"/>
        <v>-660000</v>
      </c>
      <c r="O88" s="5">
        <v>150000</v>
      </c>
      <c r="P88" s="3">
        <f t="shared" si="18"/>
        <v>-660000</v>
      </c>
      <c r="Q88" s="3">
        <f t="shared" si="13"/>
        <v>0</v>
      </c>
      <c r="R88" s="1" t="s">
        <v>19</v>
      </c>
      <c r="T88" s="27" t="str">
        <f t="shared" si="14"/>
        <v/>
      </c>
      <c r="U88" s="1" t="str">
        <f t="shared" si="15"/>
        <v/>
      </c>
    </row>
    <row r="89" spans="2:21">
      <c r="B89" s="1">
        <f t="shared" si="16"/>
        <v>85</v>
      </c>
      <c r="C89" s="2">
        <v>45869</v>
      </c>
      <c r="D89" s="2" t="str">
        <f t="shared" si="10"/>
        <v>2025년</v>
      </c>
      <c r="E89" s="1" t="str">
        <f t="shared" si="11"/>
        <v>7월</v>
      </c>
      <c r="F89" s="1" t="str">
        <f t="shared" si="12"/>
        <v>2025년7월</v>
      </c>
      <c r="G89" s="1" t="s">
        <v>49</v>
      </c>
      <c r="H89" s="1" t="str">
        <f>IFERROR((VLOOKUP(G89,Backdata!G:H,2,0)),"")</f>
        <v>134-12-98663</v>
      </c>
      <c r="I89" s="1" t="s">
        <v>9</v>
      </c>
      <c r="J89" s="1" t="s">
        <v>66</v>
      </c>
      <c r="K89" s="1" t="s">
        <v>51</v>
      </c>
      <c r="L89" s="1">
        <v>4</v>
      </c>
      <c r="M89" s="5">
        <v>240000</v>
      </c>
      <c r="N89" s="3">
        <f t="shared" si="17"/>
        <v>1056000</v>
      </c>
      <c r="O89" s="5">
        <v>220000</v>
      </c>
      <c r="P89" s="3">
        <f t="shared" si="18"/>
        <v>968000.00000000012</v>
      </c>
      <c r="Q89" s="3">
        <f t="shared" si="13"/>
        <v>87999.999999999884</v>
      </c>
      <c r="R89" s="1" t="s">
        <v>19</v>
      </c>
      <c r="T89" s="27" t="str">
        <f t="shared" si="14"/>
        <v/>
      </c>
      <c r="U89" s="1" t="str">
        <f t="shared" si="15"/>
        <v/>
      </c>
    </row>
    <row r="90" spans="2:21">
      <c r="B90" s="1">
        <f t="shared" si="16"/>
        <v>86</v>
      </c>
      <c r="C90" s="2">
        <v>45869</v>
      </c>
      <c r="D90" s="2" t="str">
        <f t="shared" si="10"/>
        <v>2025년</v>
      </c>
      <c r="E90" s="1" t="str">
        <f t="shared" si="11"/>
        <v>7월</v>
      </c>
      <c r="F90" s="1" t="str">
        <f t="shared" si="12"/>
        <v>2025년7월</v>
      </c>
      <c r="G90" s="1" t="s">
        <v>49</v>
      </c>
      <c r="H90" s="1" t="str">
        <f>IFERROR((VLOOKUP(G90,Backdata!G:H,2,0)),"")</f>
        <v>134-12-98663</v>
      </c>
      <c r="I90" s="1" t="s">
        <v>9</v>
      </c>
      <c r="J90" s="1" t="s">
        <v>66</v>
      </c>
      <c r="K90" s="1" t="s">
        <v>55</v>
      </c>
      <c r="L90" s="1">
        <v>4</v>
      </c>
      <c r="M90" s="5">
        <v>600000</v>
      </c>
      <c r="N90" s="3">
        <f t="shared" si="17"/>
        <v>2640000</v>
      </c>
      <c r="O90" s="5">
        <v>500000</v>
      </c>
      <c r="P90" s="3">
        <f t="shared" si="18"/>
        <v>2200000</v>
      </c>
      <c r="Q90" s="3">
        <f t="shared" si="13"/>
        <v>440000</v>
      </c>
      <c r="R90" s="1" t="s">
        <v>19</v>
      </c>
      <c r="T90" s="27" t="str">
        <f t="shared" si="14"/>
        <v/>
      </c>
      <c r="U90" s="1" t="str">
        <f t="shared" si="15"/>
        <v/>
      </c>
    </row>
    <row r="91" spans="2:21">
      <c r="B91" s="1">
        <f t="shared" si="16"/>
        <v>87</v>
      </c>
      <c r="C91" s="2">
        <v>45870</v>
      </c>
      <c r="D91" s="2" t="str">
        <f t="shared" si="10"/>
        <v>2025년</v>
      </c>
      <c r="E91" s="1" t="str">
        <f t="shared" si="11"/>
        <v>8월</v>
      </c>
      <c r="F91" s="1" t="str">
        <f t="shared" si="12"/>
        <v>2025년8월</v>
      </c>
      <c r="G91" s="1" t="s">
        <v>289</v>
      </c>
      <c r="H91" s="1" t="str">
        <f>IFERROR((VLOOKUP(G91,Backdata!G:H,2,0)),"")</f>
        <v>428-86-01083</v>
      </c>
      <c r="I91" s="1" t="s">
        <v>9</v>
      </c>
      <c r="J91" s="1" t="s">
        <v>12</v>
      </c>
      <c r="K91" s="1" t="s">
        <v>65</v>
      </c>
      <c r="L91" s="1">
        <v>2</v>
      </c>
      <c r="M91" s="5">
        <v>95000</v>
      </c>
      <c r="N91" s="3">
        <f t="shared" si="17"/>
        <v>209000.00000000003</v>
      </c>
      <c r="O91" s="5">
        <v>90000</v>
      </c>
      <c r="P91" s="3">
        <f t="shared" si="18"/>
        <v>198000.00000000003</v>
      </c>
      <c r="Q91" s="3">
        <f t="shared" si="13"/>
        <v>11000</v>
      </c>
      <c r="R91" s="1" t="s">
        <v>19</v>
      </c>
      <c r="T91" s="27" t="str">
        <f t="shared" si="14"/>
        <v/>
      </c>
      <c r="U91" s="1" t="str">
        <f t="shared" si="15"/>
        <v/>
      </c>
    </row>
    <row r="92" spans="2:21" hidden="1">
      <c r="B92" s="1">
        <f t="shared" si="16"/>
        <v>88</v>
      </c>
      <c r="C92" s="2">
        <v>45874</v>
      </c>
      <c r="D92" s="2" t="str">
        <f t="shared" si="10"/>
        <v>2025년</v>
      </c>
      <c r="E92" s="1" t="str">
        <f t="shared" si="11"/>
        <v>8월</v>
      </c>
      <c r="F92" s="1" t="str">
        <f t="shared" si="12"/>
        <v>2025년8월</v>
      </c>
      <c r="G92" s="1" t="s">
        <v>235</v>
      </c>
      <c r="H92" s="1" t="str">
        <f>IFERROR((VLOOKUP(G92,Backdata!G:H,2,0)),"")</f>
        <v>235-86-01235</v>
      </c>
      <c r="I92" s="1" t="s">
        <v>46</v>
      </c>
      <c r="J92" s="1" t="s">
        <v>131</v>
      </c>
      <c r="K92" s="1" t="s">
        <v>47</v>
      </c>
      <c r="L92" s="1">
        <v>1</v>
      </c>
      <c r="M92" s="5">
        <v>1450000</v>
      </c>
      <c r="N92" s="3">
        <f t="shared" si="17"/>
        <v>1595000.0000000002</v>
      </c>
      <c r="O92" s="5">
        <v>1000000</v>
      </c>
      <c r="P92" s="3">
        <f t="shared" si="18"/>
        <v>1100000</v>
      </c>
      <c r="Q92" s="3">
        <f t="shared" si="13"/>
        <v>495000.00000000023</v>
      </c>
      <c r="R92" s="1" t="s">
        <v>19</v>
      </c>
      <c r="T92" s="27">
        <f t="shared" si="14"/>
        <v>45874</v>
      </c>
      <c r="U92" s="1" t="str">
        <f t="shared" si="15"/>
        <v>완료</v>
      </c>
    </row>
    <row r="93" spans="2:21">
      <c r="B93" s="1">
        <f t="shared" si="16"/>
        <v>89</v>
      </c>
      <c r="C93" s="2">
        <v>45875</v>
      </c>
      <c r="D93" s="2" t="str">
        <f t="shared" si="10"/>
        <v>2025년</v>
      </c>
      <c r="E93" s="1" t="str">
        <f t="shared" si="11"/>
        <v>8월</v>
      </c>
      <c r="F93" s="1" t="str">
        <f t="shared" si="12"/>
        <v>2025년8월</v>
      </c>
      <c r="G93" s="1" t="s">
        <v>289</v>
      </c>
      <c r="H93" s="1" t="str">
        <f>IFERROR((VLOOKUP(G93,Backdata!G:H,2,0)),"")</f>
        <v>428-86-01083</v>
      </c>
      <c r="I93" s="1" t="s">
        <v>9</v>
      </c>
      <c r="J93" s="1" t="s">
        <v>12</v>
      </c>
      <c r="K93" s="1" t="s">
        <v>23</v>
      </c>
      <c r="L93" s="1">
        <v>4</v>
      </c>
      <c r="M93" s="5">
        <v>210000</v>
      </c>
      <c r="N93" s="3">
        <f t="shared" si="17"/>
        <v>924000.00000000012</v>
      </c>
      <c r="O93" s="5">
        <v>200000</v>
      </c>
      <c r="P93" s="3">
        <f t="shared" si="18"/>
        <v>880000.00000000012</v>
      </c>
      <c r="Q93" s="3">
        <f t="shared" si="13"/>
        <v>44000</v>
      </c>
      <c r="R93" s="1" t="s">
        <v>19</v>
      </c>
      <c r="T93" s="27" t="str">
        <f t="shared" si="14"/>
        <v/>
      </c>
      <c r="U93" s="1" t="str">
        <f t="shared" si="15"/>
        <v/>
      </c>
    </row>
    <row r="94" spans="2:21" hidden="1">
      <c r="B94" s="1">
        <f t="shared" si="16"/>
        <v>90</v>
      </c>
      <c r="C94" s="2">
        <v>45876</v>
      </c>
      <c r="D94" s="2" t="str">
        <f t="shared" si="10"/>
        <v>2025년</v>
      </c>
      <c r="E94" s="1" t="str">
        <f t="shared" si="11"/>
        <v>8월</v>
      </c>
      <c r="F94" s="1" t="str">
        <f t="shared" si="12"/>
        <v>2025년8월</v>
      </c>
      <c r="G94" s="1" t="s">
        <v>224</v>
      </c>
      <c r="H94" s="1" t="str">
        <f>IFERROR((VLOOKUP(G94,Backdata!G:H,2,0)),"")</f>
        <v>318-81-11047</v>
      </c>
      <c r="I94" s="1" t="s">
        <v>46</v>
      </c>
      <c r="J94" s="1" t="s">
        <v>53</v>
      </c>
      <c r="K94" s="1" t="s">
        <v>52</v>
      </c>
      <c r="L94" s="1">
        <v>1</v>
      </c>
      <c r="M94" s="5">
        <v>630000</v>
      </c>
      <c r="N94" s="3">
        <f t="shared" si="17"/>
        <v>693000</v>
      </c>
      <c r="O94" s="5">
        <v>580000</v>
      </c>
      <c r="P94" s="3">
        <f t="shared" si="18"/>
        <v>638000</v>
      </c>
      <c r="Q94" s="3">
        <f t="shared" si="13"/>
        <v>55000</v>
      </c>
      <c r="R94" s="1" t="s">
        <v>19</v>
      </c>
      <c r="T94" s="27">
        <f t="shared" si="14"/>
        <v>45876</v>
      </c>
      <c r="U94" s="1" t="str">
        <f t="shared" si="15"/>
        <v>완료</v>
      </c>
    </row>
    <row r="95" spans="2:21" hidden="1">
      <c r="B95" s="1">
        <f t="shared" si="16"/>
        <v>91</v>
      </c>
      <c r="C95" s="2">
        <v>45884</v>
      </c>
      <c r="D95" s="2" t="str">
        <f t="shared" si="10"/>
        <v>2025년</v>
      </c>
      <c r="E95" s="1" t="str">
        <f t="shared" si="11"/>
        <v>8월</v>
      </c>
      <c r="F95" s="1" t="str">
        <f t="shared" si="12"/>
        <v>2025년8월</v>
      </c>
      <c r="G95" s="1" t="s">
        <v>235</v>
      </c>
      <c r="H95" s="1" t="str">
        <f>IFERROR((VLOOKUP(G95,Backdata!G:H,2,0)),"")</f>
        <v>235-86-01235</v>
      </c>
      <c r="I95" s="1" t="s">
        <v>46</v>
      </c>
      <c r="J95" s="1" t="s">
        <v>30</v>
      </c>
      <c r="K95" s="1" t="s">
        <v>31</v>
      </c>
      <c r="L95" s="1">
        <v>2</v>
      </c>
      <c r="M95" s="5">
        <v>1100000</v>
      </c>
      <c r="N95" s="3">
        <f t="shared" si="17"/>
        <v>2420000</v>
      </c>
      <c r="O95" s="5">
        <v>800000</v>
      </c>
      <c r="P95" s="3">
        <f t="shared" si="18"/>
        <v>1760000.0000000002</v>
      </c>
      <c r="Q95" s="3">
        <f t="shared" si="13"/>
        <v>659999.99999999977</v>
      </c>
      <c r="R95" s="1" t="s">
        <v>19</v>
      </c>
      <c r="T95" s="27">
        <f t="shared" si="14"/>
        <v>45884</v>
      </c>
      <c r="U95" s="1" t="str">
        <f t="shared" si="15"/>
        <v>완료</v>
      </c>
    </row>
    <row r="96" spans="2:21">
      <c r="B96" s="1">
        <f t="shared" si="16"/>
        <v>92</v>
      </c>
      <c r="C96" s="2">
        <v>45887</v>
      </c>
      <c r="D96" s="2" t="str">
        <f t="shared" si="10"/>
        <v>2025년</v>
      </c>
      <c r="E96" s="1" t="str">
        <f t="shared" si="11"/>
        <v>8월</v>
      </c>
      <c r="F96" s="1" t="str">
        <f t="shared" si="12"/>
        <v>2025년8월</v>
      </c>
      <c r="G96" s="1" t="s">
        <v>49</v>
      </c>
      <c r="H96" s="1" t="str">
        <f>IFERROR((VLOOKUP(G96,Backdata!G:H,2,0)),"")</f>
        <v>134-12-98663</v>
      </c>
      <c r="I96" s="1" t="s">
        <v>9</v>
      </c>
      <c r="J96" s="1" t="s">
        <v>66</v>
      </c>
      <c r="K96" s="1" t="s">
        <v>67</v>
      </c>
      <c r="L96" s="1">
        <v>4</v>
      </c>
      <c r="M96" s="5">
        <v>560000</v>
      </c>
      <c r="N96" s="3">
        <f t="shared" si="17"/>
        <v>2464000</v>
      </c>
      <c r="O96" s="5">
        <v>500000</v>
      </c>
      <c r="P96" s="3">
        <f t="shared" si="18"/>
        <v>2200000</v>
      </c>
      <c r="Q96" s="3">
        <f t="shared" si="13"/>
        <v>264000</v>
      </c>
      <c r="R96" s="1" t="s">
        <v>19</v>
      </c>
      <c r="T96" s="27" t="str">
        <f t="shared" si="14"/>
        <v/>
      </c>
      <c r="U96" s="1" t="str">
        <f t="shared" si="15"/>
        <v/>
      </c>
    </row>
    <row r="97" spans="2:21">
      <c r="B97" s="1">
        <f t="shared" si="16"/>
        <v>93</v>
      </c>
      <c r="C97" s="2">
        <v>45889</v>
      </c>
      <c r="D97" s="2" t="str">
        <f t="shared" si="10"/>
        <v>2025년</v>
      </c>
      <c r="E97" s="1" t="str">
        <f t="shared" si="11"/>
        <v>8월</v>
      </c>
      <c r="F97" s="1" t="str">
        <f t="shared" si="12"/>
        <v>2025년8월</v>
      </c>
      <c r="G97" s="1" t="s">
        <v>289</v>
      </c>
      <c r="H97" s="1" t="str">
        <f>IFERROR((VLOOKUP(G97,Backdata!G:H,2,0)),"")</f>
        <v>428-86-01083</v>
      </c>
      <c r="I97" s="1" t="s">
        <v>9</v>
      </c>
      <c r="J97" s="1" t="s">
        <v>61</v>
      </c>
      <c r="K97" s="1" t="s">
        <v>23</v>
      </c>
      <c r="L97" s="1">
        <v>1</v>
      </c>
      <c r="M97" s="5">
        <v>240000</v>
      </c>
      <c r="N97" s="3">
        <f t="shared" si="17"/>
        <v>264000</v>
      </c>
      <c r="O97" s="5">
        <v>220000</v>
      </c>
      <c r="P97" s="3">
        <f t="shared" si="18"/>
        <v>242000.00000000003</v>
      </c>
      <c r="Q97" s="3">
        <f t="shared" si="13"/>
        <v>21999.999999999971</v>
      </c>
      <c r="R97" s="1" t="s">
        <v>19</v>
      </c>
      <c r="T97" s="27" t="str">
        <f t="shared" si="14"/>
        <v/>
      </c>
      <c r="U97" s="1" t="str">
        <f t="shared" si="15"/>
        <v/>
      </c>
    </row>
    <row r="98" spans="2:21">
      <c r="B98" s="1">
        <f t="shared" si="16"/>
        <v>94</v>
      </c>
      <c r="C98" s="2">
        <v>45889</v>
      </c>
      <c r="D98" s="2" t="str">
        <f t="shared" si="10"/>
        <v>2025년</v>
      </c>
      <c r="E98" s="1" t="str">
        <f t="shared" si="11"/>
        <v>8월</v>
      </c>
      <c r="F98" s="1" t="str">
        <f t="shared" si="12"/>
        <v>2025년8월</v>
      </c>
      <c r="G98" s="1" t="s">
        <v>289</v>
      </c>
      <c r="H98" s="1" t="str">
        <f>IFERROR((VLOOKUP(G98,Backdata!G:H,2,0)),"")</f>
        <v>428-86-01083</v>
      </c>
      <c r="I98" s="1" t="s">
        <v>9</v>
      </c>
      <c r="J98" s="1" t="s">
        <v>54</v>
      </c>
      <c r="K98" s="1" t="s">
        <v>23</v>
      </c>
      <c r="L98" s="1">
        <v>1</v>
      </c>
      <c r="M98" s="5">
        <v>140000</v>
      </c>
      <c r="N98" s="3">
        <f t="shared" si="17"/>
        <v>154000</v>
      </c>
      <c r="O98" s="5">
        <v>120000</v>
      </c>
      <c r="P98" s="3">
        <f t="shared" si="18"/>
        <v>132000</v>
      </c>
      <c r="Q98" s="3">
        <f t="shared" si="13"/>
        <v>22000</v>
      </c>
      <c r="R98" s="1" t="s">
        <v>19</v>
      </c>
      <c r="T98" s="27" t="str">
        <f t="shared" si="14"/>
        <v/>
      </c>
      <c r="U98" s="1" t="str">
        <f t="shared" si="15"/>
        <v/>
      </c>
    </row>
    <row r="99" spans="2:21">
      <c r="B99" s="1">
        <f t="shared" si="16"/>
        <v>95</v>
      </c>
      <c r="C99" s="2">
        <v>45890</v>
      </c>
      <c r="D99" s="2" t="str">
        <f t="shared" si="10"/>
        <v>2025년</v>
      </c>
      <c r="E99" s="1" t="str">
        <f t="shared" si="11"/>
        <v>8월</v>
      </c>
      <c r="F99" s="1" t="str">
        <f t="shared" si="12"/>
        <v>2025년8월</v>
      </c>
      <c r="G99" s="1" t="s">
        <v>289</v>
      </c>
      <c r="H99" s="1" t="str">
        <f>IFERROR((VLOOKUP(G99,Backdata!G:H,2,0)),"")</f>
        <v>428-86-01083</v>
      </c>
      <c r="I99" s="1" t="s">
        <v>9</v>
      </c>
      <c r="J99" s="1" t="s">
        <v>105</v>
      </c>
      <c r="K99" s="1" t="s">
        <v>100</v>
      </c>
      <c r="L99" s="1">
        <v>4</v>
      </c>
      <c r="M99" s="5">
        <v>370000</v>
      </c>
      <c r="N99" s="3">
        <f t="shared" si="17"/>
        <v>1628000.0000000002</v>
      </c>
      <c r="O99" s="5">
        <v>360000</v>
      </c>
      <c r="P99" s="3">
        <f t="shared" si="18"/>
        <v>1584000.0000000002</v>
      </c>
      <c r="Q99" s="3">
        <f t="shared" si="13"/>
        <v>44000</v>
      </c>
      <c r="R99" s="1" t="s">
        <v>19</v>
      </c>
      <c r="T99" s="27" t="str">
        <f t="shared" si="14"/>
        <v/>
      </c>
      <c r="U99" s="1" t="str">
        <f t="shared" si="15"/>
        <v/>
      </c>
    </row>
    <row r="100" spans="2:21">
      <c r="B100" s="1">
        <f t="shared" si="16"/>
        <v>96</v>
      </c>
      <c r="C100" s="2">
        <v>45897</v>
      </c>
      <c r="D100" s="2" t="str">
        <f t="shared" si="10"/>
        <v>2025년</v>
      </c>
      <c r="E100" s="1" t="str">
        <f t="shared" si="11"/>
        <v>8월</v>
      </c>
      <c r="F100" s="1" t="str">
        <f t="shared" si="12"/>
        <v>2025년8월</v>
      </c>
      <c r="G100" s="1" t="s">
        <v>49</v>
      </c>
      <c r="H100" s="1" t="str">
        <f>IFERROR((VLOOKUP(G100,Backdata!G:H,2,0)),"")</f>
        <v>134-12-98663</v>
      </c>
      <c r="I100" s="1" t="s">
        <v>9</v>
      </c>
      <c r="J100" s="1" t="s">
        <v>66</v>
      </c>
      <c r="K100" s="1" t="s">
        <v>51</v>
      </c>
      <c r="L100" s="1">
        <v>6</v>
      </c>
      <c r="M100" s="5">
        <v>240000</v>
      </c>
      <c r="N100" s="3">
        <f t="shared" si="17"/>
        <v>1584000.0000000002</v>
      </c>
      <c r="O100" s="5">
        <v>220000</v>
      </c>
      <c r="P100" s="3">
        <f t="shared" si="18"/>
        <v>1452000.0000000002</v>
      </c>
      <c r="Q100" s="3">
        <f t="shared" si="13"/>
        <v>132000</v>
      </c>
      <c r="R100" s="1" t="s">
        <v>19</v>
      </c>
      <c r="T100" s="27" t="str">
        <f t="shared" si="14"/>
        <v/>
      </c>
      <c r="U100" s="1" t="str">
        <f t="shared" si="15"/>
        <v/>
      </c>
    </row>
    <row r="101" spans="2:21">
      <c r="B101" s="1">
        <f t="shared" si="16"/>
        <v>97</v>
      </c>
      <c r="C101" s="2">
        <v>45897</v>
      </c>
      <c r="D101" s="2" t="str">
        <f t="shared" si="10"/>
        <v>2025년</v>
      </c>
      <c r="E101" s="1" t="str">
        <f t="shared" si="11"/>
        <v>8월</v>
      </c>
      <c r="F101" s="1" t="str">
        <f t="shared" si="12"/>
        <v>2025년8월</v>
      </c>
      <c r="G101" s="1" t="s">
        <v>49</v>
      </c>
      <c r="H101" s="1" t="str">
        <f>IFERROR((VLOOKUP(G101,Backdata!G:H,2,0)),"")</f>
        <v>134-12-98663</v>
      </c>
      <c r="I101" s="1" t="s">
        <v>9</v>
      </c>
      <c r="J101" s="1" t="s">
        <v>66</v>
      </c>
      <c r="K101" s="1" t="s">
        <v>55</v>
      </c>
      <c r="L101" s="1">
        <v>2</v>
      </c>
      <c r="M101" s="5">
        <v>600000</v>
      </c>
      <c r="N101" s="3">
        <f t="shared" si="17"/>
        <v>1320000</v>
      </c>
      <c r="O101" s="5">
        <v>550000</v>
      </c>
      <c r="P101" s="3">
        <f t="shared" si="18"/>
        <v>1210000</v>
      </c>
      <c r="Q101" s="3">
        <f t="shared" si="13"/>
        <v>110000</v>
      </c>
      <c r="R101" s="1" t="s">
        <v>19</v>
      </c>
      <c r="T101" s="27" t="str">
        <f t="shared" ref="T101:T132" si="19">IF(OR(I101="타이어",I101=""),"",C101)</f>
        <v/>
      </c>
      <c r="U101" s="1" t="str">
        <f t="shared" si="15"/>
        <v/>
      </c>
    </row>
    <row r="102" spans="2:21">
      <c r="B102" s="1">
        <f t="shared" si="16"/>
        <v>98</v>
      </c>
      <c r="C102" s="2">
        <v>45901</v>
      </c>
      <c r="D102" s="2" t="str">
        <f t="shared" si="10"/>
        <v>2025년</v>
      </c>
      <c r="E102" s="1" t="str">
        <f t="shared" si="11"/>
        <v>9월</v>
      </c>
      <c r="F102" s="1" t="str">
        <f t="shared" si="12"/>
        <v>2025년9월</v>
      </c>
      <c r="G102" s="1" t="s">
        <v>289</v>
      </c>
      <c r="H102" s="1" t="str">
        <f>IFERROR((VLOOKUP(G102,Backdata!G:H,2,0)),"")</f>
        <v>428-86-01083</v>
      </c>
      <c r="I102" s="1" t="s">
        <v>9</v>
      </c>
      <c r="J102" s="1" t="s">
        <v>105</v>
      </c>
      <c r="K102" s="1" t="s">
        <v>100</v>
      </c>
      <c r="L102" s="1">
        <v>4</v>
      </c>
      <c r="M102" s="5">
        <v>370000</v>
      </c>
      <c r="N102" s="3">
        <f t="shared" si="17"/>
        <v>1628000.0000000002</v>
      </c>
      <c r="O102" s="5">
        <v>360000</v>
      </c>
      <c r="P102" s="3">
        <f t="shared" si="18"/>
        <v>1584000.0000000002</v>
      </c>
      <c r="Q102" s="3">
        <f t="shared" si="13"/>
        <v>44000</v>
      </c>
      <c r="R102" s="1" t="s">
        <v>19</v>
      </c>
      <c r="T102" s="27" t="str">
        <f t="shared" si="19"/>
        <v/>
      </c>
      <c r="U102" s="1" t="str">
        <f t="shared" si="15"/>
        <v/>
      </c>
    </row>
    <row r="103" spans="2:21">
      <c r="B103" s="1">
        <f t="shared" si="16"/>
        <v>99</v>
      </c>
      <c r="C103" s="2">
        <v>45901</v>
      </c>
      <c r="D103" s="2" t="str">
        <f t="shared" si="10"/>
        <v>2025년</v>
      </c>
      <c r="E103" s="1" t="str">
        <f t="shared" si="11"/>
        <v>9월</v>
      </c>
      <c r="F103" s="1" t="str">
        <f t="shared" si="12"/>
        <v>2025년9월</v>
      </c>
      <c r="G103" s="1" t="s">
        <v>289</v>
      </c>
      <c r="H103" s="1" t="str">
        <f>IFERROR((VLOOKUP(G103,Backdata!G:H,2,0)),"")</f>
        <v>428-86-01083</v>
      </c>
      <c r="I103" s="1" t="s">
        <v>9</v>
      </c>
      <c r="J103" s="1" t="s">
        <v>12</v>
      </c>
      <c r="K103" s="1" t="s">
        <v>23</v>
      </c>
      <c r="L103" s="1">
        <v>2</v>
      </c>
      <c r="M103" s="5">
        <v>210000</v>
      </c>
      <c r="N103" s="3">
        <f t="shared" si="17"/>
        <v>462000.00000000006</v>
      </c>
      <c r="O103" s="5">
        <v>200000</v>
      </c>
      <c r="P103" s="3">
        <f t="shared" si="18"/>
        <v>440000.00000000006</v>
      </c>
      <c r="Q103" s="3">
        <f t="shared" si="13"/>
        <v>22000</v>
      </c>
      <c r="R103" s="1" t="s">
        <v>19</v>
      </c>
      <c r="T103" s="27" t="str">
        <f t="shared" si="19"/>
        <v/>
      </c>
      <c r="U103" s="1" t="str">
        <f t="shared" si="15"/>
        <v/>
      </c>
    </row>
    <row r="104" spans="2:21">
      <c r="B104" s="1">
        <f t="shared" si="16"/>
        <v>100</v>
      </c>
      <c r="C104" s="2">
        <v>45901</v>
      </c>
      <c r="D104" s="2" t="str">
        <f t="shared" si="10"/>
        <v>2025년</v>
      </c>
      <c r="E104" s="1" t="str">
        <f t="shared" si="11"/>
        <v>9월</v>
      </c>
      <c r="F104" s="1" t="str">
        <f t="shared" si="12"/>
        <v>2025년9월</v>
      </c>
      <c r="G104" s="1" t="s">
        <v>289</v>
      </c>
      <c r="H104" s="1" t="str">
        <f>IFERROR((VLOOKUP(G104,Backdata!G:H,2,0)),"")</f>
        <v>428-86-01083</v>
      </c>
      <c r="I104" s="1" t="s">
        <v>9</v>
      </c>
      <c r="J104" s="1" t="s">
        <v>60</v>
      </c>
      <c r="K104" s="1" t="s">
        <v>100</v>
      </c>
      <c r="L104" s="1">
        <v>-4</v>
      </c>
      <c r="M104" s="5">
        <v>150000</v>
      </c>
      <c r="N104" s="3">
        <f t="shared" si="17"/>
        <v>-660000</v>
      </c>
      <c r="O104" s="5">
        <v>150000</v>
      </c>
      <c r="P104" s="3">
        <f t="shared" si="18"/>
        <v>-660000</v>
      </c>
      <c r="Q104" s="3">
        <f t="shared" si="13"/>
        <v>0</v>
      </c>
      <c r="R104" s="1" t="s">
        <v>19</v>
      </c>
      <c r="T104" s="27" t="str">
        <f t="shared" si="19"/>
        <v/>
      </c>
      <c r="U104" s="1" t="str">
        <f t="shared" si="15"/>
        <v/>
      </c>
    </row>
    <row r="105" spans="2:21">
      <c r="B105" s="1">
        <f t="shared" si="16"/>
        <v>101</v>
      </c>
      <c r="C105" s="2">
        <v>45901</v>
      </c>
      <c r="D105" s="2" t="str">
        <f t="shared" si="10"/>
        <v>2025년</v>
      </c>
      <c r="E105" s="1" t="str">
        <f t="shared" si="11"/>
        <v>9월</v>
      </c>
      <c r="F105" s="1" t="str">
        <f t="shared" si="12"/>
        <v>2025년9월</v>
      </c>
      <c r="G105" s="1" t="s">
        <v>289</v>
      </c>
      <c r="H105" s="1" t="str">
        <f>IFERROR((VLOOKUP(G105,Backdata!G:H,2,0)),"")</f>
        <v>428-86-01083</v>
      </c>
      <c r="I105" s="1" t="s">
        <v>9</v>
      </c>
      <c r="J105" s="1" t="s">
        <v>61</v>
      </c>
      <c r="K105" s="1" t="s">
        <v>23</v>
      </c>
      <c r="L105" s="1">
        <v>-2</v>
      </c>
      <c r="M105" s="5">
        <v>110000</v>
      </c>
      <c r="N105" s="3">
        <f t="shared" si="17"/>
        <v>-242000.00000000003</v>
      </c>
      <c r="O105" s="5">
        <v>110000</v>
      </c>
      <c r="P105" s="3">
        <f t="shared" si="18"/>
        <v>-242000.00000000003</v>
      </c>
      <c r="Q105" s="3">
        <f t="shared" si="13"/>
        <v>0</v>
      </c>
      <c r="R105" s="1" t="s">
        <v>19</v>
      </c>
      <c r="T105" s="27" t="str">
        <f t="shared" si="19"/>
        <v/>
      </c>
      <c r="U105" s="1" t="str">
        <f t="shared" si="15"/>
        <v/>
      </c>
    </row>
    <row r="106" spans="2:21">
      <c r="B106" s="1">
        <f t="shared" si="16"/>
        <v>102</v>
      </c>
      <c r="C106" s="2">
        <v>45901</v>
      </c>
      <c r="D106" s="2" t="str">
        <f t="shared" si="10"/>
        <v>2025년</v>
      </c>
      <c r="E106" s="1" t="str">
        <f t="shared" si="11"/>
        <v>9월</v>
      </c>
      <c r="F106" s="1" t="str">
        <f t="shared" si="12"/>
        <v>2025년9월</v>
      </c>
      <c r="G106" s="1" t="s">
        <v>175</v>
      </c>
      <c r="H106" s="1" t="str">
        <f>IFERROR((VLOOKUP(G106,Backdata!G:H,2,0)),"")</f>
        <v>301-86-32786</v>
      </c>
      <c r="I106" s="1" t="s">
        <v>9</v>
      </c>
      <c r="J106" s="1" t="s">
        <v>12</v>
      </c>
      <c r="K106" s="1" t="s">
        <v>48</v>
      </c>
      <c r="L106" s="1">
        <v>2</v>
      </c>
      <c r="M106" s="5">
        <v>105000</v>
      </c>
      <c r="N106" s="3">
        <f t="shared" si="17"/>
        <v>231000.00000000003</v>
      </c>
      <c r="O106" s="5">
        <v>100000</v>
      </c>
      <c r="P106" s="3">
        <f t="shared" si="18"/>
        <v>220000.00000000003</v>
      </c>
      <c r="Q106" s="3">
        <f t="shared" si="13"/>
        <v>11000</v>
      </c>
      <c r="R106" s="1" t="s">
        <v>19</v>
      </c>
      <c r="T106" s="27" t="str">
        <f t="shared" si="19"/>
        <v/>
      </c>
      <c r="U106" s="1" t="str">
        <f t="shared" si="15"/>
        <v/>
      </c>
    </row>
    <row r="107" spans="2:21" hidden="1">
      <c r="B107" s="1">
        <f t="shared" si="16"/>
        <v>103</v>
      </c>
      <c r="C107" s="2">
        <v>45903</v>
      </c>
      <c r="D107" s="2" t="str">
        <f t="shared" si="10"/>
        <v>2025년</v>
      </c>
      <c r="E107" s="1" t="str">
        <f t="shared" si="11"/>
        <v>9월</v>
      </c>
      <c r="F107" s="1" t="str">
        <f t="shared" si="12"/>
        <v>2025년9월</v>
      </c>
      <c r="G107" s="1" t="s">
        <v>224</v>
      </c>
      <c r="H107" s="1" t="str">
        <f>IFERROR((VLOOKUP(G107,Backdata!G:H,2,0)),"")</f>
        <v>318-81-11047</v>
      </c>
      <c r="I107" s="1" t="s">
        <v>46</v>
      </c>
      <c r="J107" s="1" t="s">
        <v>53</v>
      </c>
      <c r="K107" s="1" t="s">
        <v>52</v>
      </c>
      <c r="L107" s="1">
        <v>1</v>
      </c>
      <c r="M107" s="5">
        <v>630000</v>
      </c>
      <c r="N107" s="3">
        <f t="shared" si="17"/>
        <v>693000</v>
      </c>
      <c r="O107" s="5">
        <v>580000</v>
      </c>
      <c r="P107" s="3">
        <f t="shared" si="18"/>
        <v>638000</v>
      </c>
      <c r="Q107" s="3">
        <f t="shared" si="13"/>
        <v>55000</v>
      </c>
      <c r="R107" s="1" t="s">
        <v>19</v>
      </c>
      <c r="T107" s="27">
        <f t="shared" si="19"/>
        <v>45903</v>
      </c>
      <c r="U107" s="1" t="str">
        <f t="shared" si="15"/>
        <v>완료</v>
      </c>
    </row>
    <row r="108" spans="2:21" hidden="1">
      <c r="B108" s="1">
        <f t="shared" si="16"/>
        <v>104</v>
      </c>
      <c r="C108" s="2">
        <v>45904</v>
      </c>
      <c r="D108" s="2" t="str">
        <f t="shared" si="10"/>
        <v>2025년</v>
      </c>
      <c r="E108" s="1" t="str">
        <f t="shared" si="11"/>
        <v>9월</v>
      </c>
      <c r="F108" s="1" t="str">
        <f t="shared" si="12"/>
        <v>2025년9월</v>
      </c>
      <c r="G108" s="1" t="s">
        <v>235</v>
      </c>
      <c r="H108" s="1" t="str">
        <f>IFERROR((VLOOKUP(G108,Backdata!G:H,2,0)),"")</f>
        <v>235-86-01235</v>
      </c>
      <c r="I108" s="1" t="s">
        <v>46</v>
      </c>
      <c r="J108" s="1" t="s">
        <v>131</v>
      </c>
      <c r="K108" s="1" t="s">
        <v>47</v>
      </c>
      <c r="L108" s="1">
        <v>1</v>
      </c>
      <c r="M108" s="5">
        <v>1450000</v>
      </c>
      <c r="N108" s="3">
        <f t="shared" si="17"/>
        <v>1595000.0000000002</v>
      </c>
      <c r="O108" s="5">
        <v>1000000</v>
      </c>
      <c r="P108" s="3">
        <f t="shared" si="18"/>
        <v>1100000</v>
      </c>
      <c r="Q108" s="3">
        <f t="shared" si="13"/>
        <v>495000.00000000023</v>
      </c>
      <c r="R108" s="1" t="s">
        <v>19</v>
      </c>
      <c r="T108" s="27">
        <f t="shared" si="19"/>
        <v>45904</v>
      </c>
      <c r="U108" s="1" t="str">
        <f t="shared" si="15"/>
        <v>완료</v>
      </c>
    </row>
    <row r="109" spans="2:21">
      <c r="B109" s="1">
        <f t="shared" si="16"/>
        <v>105</v>
      </c>
      <c r="C109" s="2">
        <v>45908</v>
      </c>
      <c r="D109" s="2" t="str">
        <f t="shared" si="10"/>
        <v>2025년</v>
      </c>
      <c r="E109" s="1" t="str">
        <f t="shared" si="11"/>
        <v>9월</v>
      </c>
      <c r="F109" s="1" t="str">
        <f t="shared" si="12"/>
        <v>2025년9월</v>
      </c>
      <c r="G109" s="1" t="s">
        <v>289</v>
      </c>
      <c r="H109" s="1" t="str">
        <f>IFERROR((VLOOKUP(G109,Backdata!G:H,2,0)),"")</f>
        <v>428-86-01083</v>
      </c>
      <c r="I109" s="1" t="s">
        <v>9</v>
      </c>
      <c r="J109" s="1" t="s">
        <v>61</v>
      </c>
      <c r="K109" s="1" t="s">
        <v>23</v>
      </c>
      <c r="L109" s="1">
        <v>1</v>
      </c>
      <c r="M109" s="5">
        <v>240000</v>
      </c>
      <c r="N109" s="3">
        <f t="shared" si="17"/>
        <v>264000</v>
      </c>
      <c r="O109" s="5">
        <v>220000</v>
      </c>
      <c r="P109" s="3">
        <f t="shared" si="18"/>
        <v>242000.00000000003</v>
      </c>
      <c r="Q109" s="3">
        <f t="shared" si="13"/>
        <v>21999.999999999971</v>
      </c>
      <c r="R109" s="1" t="s">
        <v>19</v>
      </c>
      <c r="T109" s="27" t="str">
        <f t="shared" si="19"/>
        <v/>
      </c>
      <c r="U109" s="1" t="str">
        <f t="shared" si="15"/>
        <v/>
      </c>
    </row>
    <row r="110" spans="2:21">
      <c r="B110" s="1">
        <f t="shared" si="16"/>
        <v>106</v>
      </c>
      <c r="C110" s="2">
        <v>45908</v>
      </c>
      <c r="D110" s="2" t="str">
        <f t="shared" si="10"/>
        <v>2025년</v>
      </c>
      <c r="E110" s="1" t="str">
        <f t="shared" si="11"/>
        <v>9월</v>
      </c>
      <c r="F110" s="1" t="str">
        <f t="shared" si="12"/>
        <v>2025년9월</v>
      </c>
      <c r="G110" s="1" t="s">
        <v>289</v>
      </c>
      <c r="H110" s="1" t="str">
        <f>IFERROR((VLOOKUP(G110,Backdata!G:H,2,0)),"")</f>
        <v>428-86-01083</v>
      </c>
      <c r="I110" s="1" t="s">
        <v>9</v>
      </c>
      <c r="J110" s="1" t="s">
        <v>54</v>
      </c>
      <c r="K110" s="1" t="s">
        <v>23</v>
      </c>
      <c r="L110" s="1">
        <v>1</v>
      </c>
      <c r="M110" s="5">
        <v>140000</v>
      </c>
      <c r="N110" s="3">
        <f t="shared" si="17"/>
        <v>154000</v>
      </c>
      <c r="O110" s="5">
        <v>120000</v>
      </c>
      <c r="P110" s="3">
        <f t="shared" si="18"/>
        <v>132000</v>
      </c>
      <c r="Q110" s="3">
        <f t="shared" si="13"/>
        <v>22000</v>
      </c>
      <c r="R110" s="1" t="s">
        <v>19</v>
      </c>
      <c r="T110" s="27" t="str">
        <f t="shared" si="19"/>
        <v/>
      </c>
      <c r="U110" s="1" t="str">
        <f t="shared" si="15"/>
        <v/>
      </c>
    </row>
    <row r="111" spans="2:21" hidden="1">
      <c r="B111" s="1">
        <f t="shared" si="16"/>
        <v>107</v>
      </c>
      <c r="C111" s="2">
        <v>45915</v>
      </c>
      <c r="D111" s="2" t="str">
        <f t="shared" si="10"/>
        <v>2025년</v>
      </c>
      <c r="E111" s="1" t="str">
        <f t="shared" si="11"/>
        <v>9월</v>
      </c>
      <c r="F111" s="1" t="str">
        <f t="shared" si="12"/>
        <v>2025년9월</v>
      </c>
      <c r="G111" s="1" t="s">
        <v>235</v>
      </c>
      <c r="H111" s="1" t="str">
        <f>IFERROR((VLOOKUP(G111,Backdata!G:H,2,0)),"")</f>
        <v>235-86-01235</v>
      </c>
      <c r="I111" s="1" t="s">
        <v>46</v>
      </c>
      <c r="J111" s="1" t="s">
        <v>30</v>
      </c>
      <c r="K111" s="1" t="s">
        <v>31</v>
      </c>
      <c r="L111" s="1">
        <v>2</v>
      </c>
      <c r="M111" s="5">
        <v>1100000</v>
      </c>
      <c r="N111" s="3">
        <f t="shared" si="17"/>
        <v>2420000</v>
      </c>
      <c r="O111" s="5">
        <v>800000</v>
      </c>
      <c r="P111" s="3">
        <f t="shared" si="18"/>
        <v>1760000.0000000002</v>
      </c>
      <c r="Q111" s="3">
        <f t="shared" si="13"/>
        <v>659999.99999999977</v>
      </c>
      <c r="R111" s="1" t="s">
        <v>19</v>
      </c>
      <c r="T111" s="27">
        <f t="shared" si="19"/>
        <v>45915</v>
      </c>
      <c r="U111" s="1" t="str">
        <f t="shared" si="15"/>
        <v>완료</v>
      </c>
    </row>
    <row r="112" spans="2:21">
      <c r="B112" s="1">
        <f t="shared" si="16"/>
        <v>108</v>
      </c>
      <c r="C112" s="2">
        <v>45917</v>
      </c>
      <c r="D112" s="2" t="str">
        <f t="shared" si="10"/>
        <v>2025년</v>
      </c>
      <c r="E112" s="1" t="str">
        <f t="shared" si="11"/>
        <v>9월</v>
      </c>
      <c r="F112" s="1" t="str">
        <f t="shared" si="12"/>
        <v>2025년9월</v>
      </c>
      <c r="G112" s="1" t="s">
        <v>49</v>
      </c>
      <c r="H112" s="1" t="str">
        <f>IFERROR((VLOOKUP(G112,Backdata!G:H,2,0)),"")</f>
        <v>134-12-98663</v>
      </c>
      <c r="I112" s="1" t="s">
        <v>9</v>
      </c>
      <c r="J112" s="1" t="s">
        <v>63</v>
      </c>
      <c r="K112" s="1" t="s">
        <v>50</v>
      </c>
      <c r="L112" s="1">
        <v>12</v>
      </c>
      <c r="M112" s="5">
        <v>410000</v>
      </c>
      <c r="N112" s="3">
        <f t="shared" si="17"/>
        <v>5412000</v>
      </c>
      <c r="O112" s="5">
        <v>390000</v>
      </c>
      <c r="P112" s="3">
        <f t="shared" si="18"/>
        <v>5148000</v>
      </c>
      <c r="Q112" s="3">
        <f t="shared" si="13"/>
        <v>264000</v>
      </c>
      <c r="R112" s="1" t="s">
        <v>19</v>
      </c>
      <c r="T112" s="27" t="str">
        <f t="shared" si="19"/>
        <v/>
      </c>
      <c r="U112" s="1" t="str">
        <f t="shared" si="15"/>
        <v/>
      </c>
    </row>
    <row r="113" spans="2:21">
      <c r="B113" s="1">
        <f t="shared" si="16"/>
        <v>109</v>
      </c>
      <c r="C113" s="2">
        <v>45917</v>
      </c>
      <c r="D113" s="2" t="str">
        <f t="shared" si="10"/>
        <v>2025년</v>
      </c>
      <c r="E113" s="1" t="str">
        <f t="shared" si="11"/>
        <v>9월</v>
      </c>
      <c r="F113" s="1" t="str">
        <f t="shared" si="12"/>
        <v>2025년9월</v>
      </c>
      <c r="G113" s="1" t="s">
        <v>49</v>
      </c>
      <c r="H113" s="1" t="str">
        <f>IFERROR((VLOOKUP(G113,Backdata!G:H,2,0)),"")</f>
        <v>134-12-98663</v>
      </c>
      <c r="I113" s="1" t="s">
        <v>9</v>
      </c>
      <c r="J113" s="1" t="s">
        <v>12</v>
      </c>
      <c r="K113" s="1" t="s">
        <v>55</v>
      </c>
      <c r="L113" s="1">
        <v>4</v>
      </c>
      <c r="M113" s="5">
        <v>420000</v>
      </c>
      <c r="N113" s="3">
        <f t="shared" si="17"/>
        <v>1848000.0000000002</v>
      </c>
      <c r="O113" s="5">
        <v>400000</v>
      </c>
      <c r="P113" s="3">
        <f t="shared" si="18"/>
        <v>1760000.0000000002</v>
      </c>
      <c r="Q113" s="3">
        <f t="shared" si="13"/>
        <v>88000</v>
      </c>
      <c r="R113" s="1" t="s">
        <v>19</v>
      </c>
      <c r="T113" s="27" t="str">
        <f t="shared" si="19"/>
        <v/>
      </c>
      <c r="U113" s="1" t="str">
        <f t="shared" si="15"/>
        <v/>
      </c>
    </row>
    <row r="114" spans="2:21">
      <c r="B114" s="1">
        <f t="shared" si="16"/>
        <v>110</v>
      </c>
      <c r="C114" s="2">
        <v>45917</v>
      </c>
      <c r="D114" s="2" t="str">
        <f t="shared" si="10"/>
        <v>2025년</v>
      </c>
      <c r="E114" s="1" t="str">
        <f t="shared" si="11"/>
        <v>9월</v>
      </c>
      <c r="F114" s="1" t="str">
        <f t="shared" si="12"/>
        <v>2025년9월</v>
      </c>
      <c r="G114" s="1" t="s">
        <v>49</v>
      </c>
      <c r="H114" s="1" t="str">
        <f>IFERROR((VLOOKUP(G114,Backdata!G:H,2,0)),"")</f>
        <v>134-12-98663</v>
      </c>
      <c r="I114" s="1" t="s">
        <v>9</v>
      </c>
      <c r="J114" s="1" t="s">
        <v>63</v>
      </c>
      <c r="K114" s="1" t="s">
        <v>51</v>
      </c>
      <c r="L114" s="1">
        <v>2</v>
      </c>
      <c r="M114" s="5">
        <v>210000</v>
      </c>
      <c r="N114" s="3">
        <f t="shared" si="17"/>
        <v>462000.00000000006</v>
      </c>
      <c r="O114" s="5">
        <v>200000</v>
      </c>
      <c r="P114" s="3">
        <f t="shared" si="18"/>
        <v>440000.00000000006</v>
      </c>
      <c r="Q114" s="3">
        <f t="shared" si="13"/>
        <v>22000</v>
      </c>
      <c r="R114" s="1" t="s">
        <v>19</v>
      </c>
      <c r="T114" s="27" t="str">
        <f t="shared" si="19"/>
        <v/>
      </c>
      <c r="U114" s="1" t="str">
        <f t="shared" si="15"/>
        <v/>
      </c>
    </row>
    <row r="115" spans="2:21">
      <c r="B115" s="1">
        <f t="shared" si="16"/>
        <v>111</v>
      </c>
      <c r="C115" s="2">
        <v>45922</v>
      </c>
      <c r="D115" s="2" t="str">
        <f t="shared" si="10"/>
        <v>2025년</v>
      </c>
      <c r="E115" s="1" t="str">
        <f t="shared" si="11"/>
        <v>9월</v>
      </c>
      <c r="F115" s="1" t="str">
        <f t="shared" si="12"/>
        <v>2025년9월</v>
      </c>
      <c r="G115" s="1" t="s">
        <v>49</v>
      </c>
      <c r="H115" s="1" t="str">
        <f>IFERROR((VLOOKUP(G115,Backdata!G:H,2,0)),"")</f>
        <v>134-12-98663</v>
      </c>
      <c r="I115" s="1" t="s">
        <v>9</v>
      </c>
      <c r="J115" s="1" t="s">
        <v>63</v>
      </c>
      <c r="K115" s="1" t="s">
        <v>50</v>
      </c>
      <c r="L115" s="1">
        <v>4</v>
      </c>
      <c r="M115" s="5">
        <v>410000</v>
      </c>
      <c r="N115" s="3">
        <f t="shared" si="17"/>
        <v>1804000.0000000002</v>
      </c>
      <c r="O115" s="5">
        <v>390000</v>
      </c>
      <c r="P115" s="3">
        <f t="shared" si="18"/>
        <v>1716000.0000000002</v>
      </c>
      <c r="Q115" s="3">
        <f t="shared" si="13"/>
        <v>88000</v>
      </c>
      <c r="R115" s="1" t="s">
        <v>19</v>
      </c>
      <c r="T115" s="27" t="str">
        <f t="shared" si="19"/>
        <v/>
      </c>
      <c r="U115" s="1" t="str">
        <f t="shared" si="15"/>
        <v/>
      </c>
    </row>
    <row r="116" spans="2:21">
      <c r="B116" s="1">
        <f t="shared" si="16"/>
        <v>112</v>
      </c>
      <c r="C116" s="2">
        <v>45925</v>
      </c>
      <c r="D116" s="2" t="str">
        <f t="shared" si="10"/>
        <v>2025년</v>
      </c>
      <c r="E116" s="1" t="str">
        <f t="shared" si="11"/>
        <v>9월</v>
      </c>
      <c r="F116" s="1" t="str">
        <f t="shared" si="12"/>
        <v>2025년9월</v>
      </c>
      <c r="G116" s="1" t="s">
        <v>187</v>
      </c>
      <c r="H116" s="1" t="str">
        <f>IFERROR((VLOOKUP(G116,Backdata!G:H,2,0)),"")</f>
        <v>416-81-34873</v>
      </c>
      <c r="I116" s="1" t="s">
        <v>10</v>
      </c>
      <c r="J116" s="1" t="s">
        <v>35</v>
      </c>
      <c r="K116" s="1" t="s">
        <v>22</v>
      </c>
      <c r="L116" s="1">
        <v>4</v>
      </c>
      <c r="M116" s="5">
        <v>130000</v>
      </c>
      <c r="N116" s="3">
        <f t="shared" si="17"/>
        <v>572000</v>
      </c>
      <c r="O116" s="5">
        <v>120000</v>
      </c>
      <c r="P116" s="3">
        <f t="shared" si="18"/>
        <v>528000</v>
      </c>
      <c r="Q116" s="3">
        <f t="shared" si="13"/>
        <v>44000</v>
      </c>
      <c r="R116" s="1" t="s">
        <v>19</v>
      </c>
      <c r="T116" s="27" t="str">
        <f t="shared" si="19"/>
        <v/>
      </c>
      <c r="U116" s="1" t="str">
        <f t="shared" si="15"/>
        <v/>
      </c>
    </row>
    <row r="117" spans="2:21">
      <c r="B117" s="1">
        <f t="shared" si="16"/>
        <v>113</v>
      </c>
      <c r="C117" s="2">
        <v>45925</v>
      </c>
      <c r="D117" s="2" t="str">
        <f t="shared" si="10"/>
        <v>2025년</v>
      </c>
      <c r="E117" s="1" t="str">
        <f t="shared" si="11"/>
        <v>9월</v>
      </c>
      <c r="F117" s="1" t="str">
        <f t="shared" si="12"/>
        <v>2025년9월</v>
      </c>
      <c r="G117" s="1" t="s">
        <v>187</v>
      </c>
      <c r="H117" s="1" t="str">
        <f>IFERROR((VLOOKUP(G117,Backdata!G:H,2,0)),"")</f>
        <v>416-81-34873</v>
      </c>
      <c r="I117" s="1" t="s">
        <v>10</v>
      </c>
      <c r="J117" s="1" t="s">
        <v>35</v>
      </c>
      <c r="K117" s="1" t="s">
        <v>104</v>
      </c>
      <c r="L117" s="1">
        <v>4</v>
      </c>
      <c r="M117" s="5">
        <v>6000</v>
      </c>
      <c r="N117" s="3">
        <f t="shared" si="17"/>
        <v>26400.000000000004</v>
      </c>
      <c r="O117" s="5">
        <v>6000</v>
      </c>
      <c r="P117" s="3">
        <f t="shared" si="18"/>
        <v>26400.000000000004</v>
      </c>
      <c r="Q117" s="3">
        <f t="shared" si="13"/>
        <v>0</v>
      </c>
      <c r="R117" s="1" t="s">
        <v>19</v>
      </c>
      <c r="T117" s="27" t="str">
        <f t="shared" si="19"/>
        <v/>
      </c>
      <c r="U117" s="1" t="str">
        <f t="shared" si="15"/>
        <v/>
      </c>
    </row>
    <row r="118" spans="2:21">
      <c r="B118" s="1">
        <f t="shared" si="16"/>
        <v>114</v>
      </c>
      <c r="C118" s="2">
        <v>45926</v>
      </c>
      <c r="D118" s="2" t="str">
        <f t="shared" si="10"/>
        <v>2025년</v>
      </c>
      <c r="E118" s="1" t="str">
        <f t="shared" si="11"/>
        <v>9월</v>
      </c>
      <c r="F118" s="1" t="str">
        <f t="shared" si="12"/>
        <v>2025년9월</v>
      </c>
      <c r="G118" s="1" t="s">
        <v>49</v>
      </c>
      <c r="H118" s="1" t="str">
        <f>IFERROR((VLOOKUP(G118,Backdata!G:H,2,0)),"")</f>
        <v>134-12-98663</v>
      </c>
      <c r="I118" s="1" t="s">
        <v>9</v>
      </c>
      <c r="J118" s="1" t="s">
        <v>63</v>
      </c>
      <c r="K118" s="1" t="s">
        <v>48</v>
      </c>
      <c r="L118" s="1">
        <v>2</v>
      </c>
      <c r="M118" s="5">
        <v>137000</v>
      </c>
      <c r="N118" s="3">
        <f t="shared" si="17"/>
        <v>301400</v>
      </c>
      <c r="O118" s="5">
        <v>130000</v>
      </c>
      <c r="P118" s="3">
        <f t="shared" si="18"/>
        <v>286000</v>
      </c>
      <c r="Q118" s="3">
        <f t="shared" si="13"/>
        <v>15400</v>
      </c>
      <c r="R118" s="1" t="s">
        <v>19</v>
      </c>
      <c r="T118" s="27" t="str">
        <f t="shared" si="19"/>
        <v/>
      </c>
      <c r="U118" s="1" t="str">
        <f t="shared" si="15"/>
        <v/>
      </c>
    </row>
    <row r="119" spans="2:21" hidden="1">
      <c r="B119" s="1">
        <f t="shared" si="16"/>
        <v>115</v>
      </c>
      <c r="C119" s="2">
        <v>45933</v>
      </c>
      <c r="D119" s="2" t="str">
        <f t="shared" si="10"/>
        <v>2025년</v>
      </c>
      <c r="E119" s="1" t="str">
        <f t="shared" si="11"/>
        <v>10월</v>
      </c>
      <c r="F119" s="1" t="str">
        <f t="shared" si="12"/>
        <v>2025년10월</v>
      </c>
      <c r="G119" s="1" t="s">
        <v>224</v>
      </c>
      <c r="H119" s="1" t="str">
        <f>IFERROR((VLOOKUP(G119,Backdata!G:H,2,0)),"")</f>
        <v>318-81-11047</v>
      </c>
      <c r="I119" s="1" t="s">
        <v>46</v>
      </c>
      <c r="J119" s="1" t="s">
        <v>53</v>
      </c>
      <c r="K119" s="1" t="s">
        <v>52</v>
      </c>
      <c r="L119" s="1">
        <v>1</v>
      </c>
      <c r="M119" s="5">
        <v>630000</v>
      </c>
      <c r="N119" s="3">
        <f t="shared" si="17"/>
        <v>693000</v>
      </c>
      <c r="O119" s="5">
        <v>580000</v>
      </c>
      <c r="P119" s="3">
        <f t="shared" si="18"/>
        <v>638000</v>
      </c>
      <c r="Q119" s="3">
        <f t="shared" si="13"/>
        <v>55000</v>
      </c>
      <c r="R119" s="1" t="s">
        <v>19</v>
      </c>
      <c r="T119" s="27">
        <f t="shared" si="19"/>
        <v>45933</v>
      </c>
      <c r="U119" s="1" t="str">
        <f t="shared" si="15"/>
        <v>완료</v>
      </c>
    </row>
    <row r="120" spans="2:21" hidden="1">
      <c r="B120" s="1">
        <f t="shared" si="16"/>
        <v>116</v>
      </c>
      <c r="C120" s="2">
        <v>45955</v>
      </c>
      <c r="D120" s="2" t="str">
        <f t="shared" si="10"/>
        <v>2025년</v>
      </c>
      <c r="E120" s="1" t="str">
        <f t="shared" si="11"/>
        <v>10월</v>
      </c>
      <c r="F120" s="1" t="str">
        <f t="shared" si="12"/>
        <v>2025년10월</v>
      </c>
      <c r="G120" s="1" t="s">
        <v>235</v>
      </c>
      <c r="H120" s="1" t="str">
        <f>IFERROR((VLOOKUP(G120,Backdata!G:H,2,0)),"")</f>
        <v>235-86-01235</v>
      </c>
      <c r="I120" s="1" t="s">
        <v>46</v>
      </c>
      <c r="J120" s="1" t="s">
        <v>131</v>
      </c>
      <c r="K120" s="1" t="s">
        <v>47</v>
      </c>
      <c r="L120" s="1">
        <v>1</v>
      </c>
      <c r="M120" s="5">
        <v>1450000</v>
      </c>
      <c r="N120" s="3">
        <f t="shared" si="17"/>
        <v>1595000.0000000002</v>
      </c>
      <c r="O120" s="5">
        <v>1000000</v>
      </c>
      <c r="P120" s="3">
        <f t="shared" si="18"/>
        <v>1100000</v>
      </c>
      <c r="Q120" s="3">
        <f t="shared" si="13"/>
        <v>495000.00000000023</v>
      </c>
      <c r="R120" s="1" t="s">
        <v>19</v>
      </c>
      <c r="T120" s="27">
        <f t="shared" si="19"/>
        <v>45955</v>
      </c>
      <c r="U120" s="1" t="str">
        <f t="shared" si="15"/>
        <v>완료</v>
      </c>
    </row>
    <row r="121" spans="2:21" hidden="1">
      <c r="B121" s="1">
        <f t="shared" si="16"/>
        <v>117</v>
      </c>
      <c r="C121" s="2">
        <v>45955</v>
      </c>
      <c r="D121" s="2" t="str">
        <f t="shared" si="10"/>
        <v>2025년</v>
      </c>
      <c r="E121" s="1" t="str">
        <f t="shared" si="11"/>
        <v>10월</v>
      </c>
      <c r="F121" s="1" t="str">
        <f t="shared" si="12"/>
        <v>2025년10월</v>
      </c>
      <c r="G121" s="1" t="s">
        <v>235</v>
      </c>
      <c r="H121" s="1" t="str">
        <f>IFERROR((VLOOKUP(G121,Backdata!G:H,2,0)),"")</f>
        <v>235-86-01235</v>
      </c>
      <c r="I121" s="1" t="s">
        <v>46</v>
      </c>
      <c r="J121" s="1" t="s">
        <v>30</v>
      </c>
      <c r="K121" s="1" t="s">
        <v>31</v>
      </c>
      <c r="L121" s="1">
        <v>2</v>
      </c>
      <c r="M121" s="5">
        <v>1100000</v>
      </c>
      <c r="N121" s="3">
        <f t="shared" si="17"/>
        <v>2420000</v>
      </c>
      <c r="O121" s="5">
        <v>800000</v>
      </c>
      <c r="P121" s="3">
        <f t="shared" si="18"/>
        <v>1760000.0000000002</v>
      </c>
      <c r="Q121" s="3">
        <f t="shared" si="13"/>
        <v>659999.99999999977</v>
      </c>
      <c r="R121" s="1" t="s">
        <v>19</v>
      </c>
      <c r="T121" s="27">
        <f t="shared" si="19"/>
        <v>45955</v>
      </c>
      <c r="U121" s="1" t="str">
        <f t="shared" si="15"/>
        <v>완료</v>
      </c>
    </row>
    <row r="122" spans="2:21">
      <c r="B122" s="1">
        <f t="shared" si="16"/>
        <v>118</v>
      </c>
      <c r="C122" s="2">
        <v>45959</v>
      </c>
      <c r="D122" s="2" t="str">
        <f t="shared" si="10"/>
        <v>2025년</v>
      </c>
      <c r="E122" s="1" t="str">
        <f t="shared" si="11"/>
        <v>10월</v>
      </c>
      <c r="F122" s="1" t="str">
        <f t="shared" si="12"/>
        <v>2025년10월</v>
      </c>
      <c r="G122" s="1" t="s">
        <v>49</v>
      </c>
      <c r="H122" s="1" t="str">
        <f>IFERROR((VLOOKUP(G122,Backdata!G:H,2,0)),"")</f>
        <v>134-12-98663</v>
      </c>
      <c r="I122" s="1" t="s">
        <v>10</v>
      </c>
      <c r="J122" s="1" t="s">
        <v>12</v>
      </c>
      <c r="K122" s="1" t="s">
        <v>55</v>
      </c>
      <c r="L122" s="1">
        <v>4</v>
      </c>
      <c r="M122" s="5">
        <v>420000</v>
      </c>
      <c r="N122" s="3">
        <f t="shared" si="17"/>
        <v>1848000.0000000002</v>
      </c>
      <c r="O122" s="5">
        <v>400000</v>
      </c>
      <c r="P122" s="3">
        <f t="shared" si="18"/>
        <v>1760000.0000000002</v>
      </c>
      <c r="Q122" s="3">
        <f t="shared" si="13"/>
        <v>88000</v>
      </c>
      <c r="R122" s="1" t="s">
        <v>19</v>
      </c>
      <c r="T122" s="27" t="str">
        <f t="shared" si="19"/>
        <v/>
      </c>
      <c r="U122" s="1" t="str">
        <f t="shared" si="15"/>
        <v/>
      </c>
    </row>
    <row r="123" spans="2:21">
      <c r="B123" s="1">
        <f t="shared" si="16"/>
        <v>119</v>
      </c>
      <c r="C123" s="2">
        <v>45959</v>
      </c>
      <c r="D123" s="2" t="str">
        <f t="shared" si="10"/>
        <v>2025년</v>
      </c>
      <c r="E123" s="1" t="str">
        <f t="shared" si="11"/>
        <v>10월</v>
      </c>
      <c r="F123" s="1" t="str">
        <f t="shared" si="12"/>
        <v>2025년10월</v>
      </c>
      <c r="G123" s="1" t="s">
        <v>49</v>
      </c>
      <c r="H123" s="1" t="str">
        <f>IFERROR((VLOOKUP(G123,Backdata!G:H,2,0)),"")</f>
        <v>134-12-98663</v>
      </c>
      <c r="I123" s="1" t="s">
        <v>10</v>
      </c>
      <c r="J123" s="1" t="s">
        <v>63</v>
      </c>
      <c r="K123" s="1" t="s">
        <v>51</v>
      </c>
      <c r="L123" s="1">
        <v>2</v>
      </c>
      <c r="M123" s="5">
        <v>210000</v>
      </c>
      <c r="N123" s="3">
        <f t="shared" si="17"/>
        <v>462000.00000000006</v>
      </c>
      <c r="O123" s="5">
        <v>200000</v>
      </c>
      <c r="P123" s="3">
        <f t="shared" si="18"/>
        <v>440000.00000000006</v>
      </c>
      <c r="Q123" s="3">
        <f t="shared" si="13"/>
        <v>22000</v>
      </c>
      <c r="R123" s="1" t="s">
        <v>19</v>
      </c>
      <c r="T123" s="27" t="str">
        <f t="shared" si="19"/>
        <v/>
      </c>
      <c r="U123" s="1" t="str">
        <f t="shared" si="15"/>
        <v/>
      </c>
    </row>
    <row r="124" spans="2:21">
      <c r="B124" s="1">
        <f t="shared" si="16"/>
        <v>120</v>
      </c>
      <c r="C124" s="2">
        <v>45959</v>
      </c>
      <c r="D124" s="2" t="str">
        <f t="shared" si="10"/>
        <v>2025년</v>
      </c>
      <c r="E124" s="1" t="str">
        <f t="shared" si="11"/>
        <v>10월</v>
      </c>
      <c r="F124" s="1" t="str">
        <f t="shared" si="12"/>
        <v>2025년10월</v>
      </c>
      <c r="G124" s="1" t="s">
        <v>49</v>
      </c>
      <c r="H124" s="1" t="str">
        <f>IFERROR((VLOOKUP(G124,Backdata!G:H,2,0)),"")</f>
        <v>134-12-98663</v>
      </c>
      <c r="I124" s="1" t="s">
        <v>10</v>
      </c>
      <c r="J124" s="1" t="s">
        <v>24</v>
      </c>
      <c r="L124" s="1">
        <v>1</v>
      </c>
      <c r="M124" s="5">
        <v>120000</v>
      </c>
      <c r="N124" s="3">
        <f t="shared" si="17"/>
        <v>132000</v>
      </c>
      <c r="O124" s="5">
        <v>120000</v>
      </c>
      <c r="P124" s="3">
        <f t="shared" si="18"/>
        <v>132000</v>
      </c>
      <c r="Q124" s="3">
        <f t="shared" si="13"/>
        <v>0</v>
      </c>
      <c r="R124" s="1" t="s">
        <v>19</v>
      </c>
      <c r="T124" s="27" t="str">
        <f t="shared" si="19"/>
        <v/>
      </c>
      <c r="U124" s="1" t="str">
        <f t="shared" si="15"/>
        <v/>
      </c>
    </row>
    <row r="125" spans="2:21">
      <c r="B125" s="1">
        <f t="shared" si="16"/>
        <v>121</v>
      </c>
      <c r="C125" s="2">
        <v>45959</v>
      </c>
      <c r="D125" s="2" t="str">
        <f t="shared" si="10"/>
        <v>2025년</v>
      </c>
      <c r="E125" s="1" t="str">
        <f t="shared" si="11"/>
        <v>10월</v>
      </c>
      <c r="F125" s="1" t="str">
        <f t="shared" si="12"/>
        <v>2025년10월</v>
      </c>
      <c r="G125" s="1" t="s">
        <v>49</v>
      </c>
      <c r="H125" s="1" t="str">
        <f>IFERROR((VLOOKUP(G125,Backdata!G:H,2,0)),"")</f>
        <v>134-12-98663</v>
      </c>
      <c r="I125" s="1" t="s">
        <v>10</v>
      </c>
      <c r="J125" s="1" t="s">
        <v>24</v>
      </c>
      <c r="L125" s="1">
        <v>2</v>
      </c>
      <c r="M125" s="5">
        <v>10000</v>
      </c>
      <c r="N125" s="3">
        <f t="shared" si="17"/>
        <v>22000</v>
      </c>
      <c r="O125" s="5">
        <v>10000</v>
      </c>
      <c r="P125" s="3">
        <f t="shared" si="18"/>
        <v>22000</v>
      </c>
      <c r="Q125" s="3">
        <f t="shared" si="13"/>
        <v>0</v>
      </c>
      <c r="R125" s="1" t="s">
        <v>19</v>
      </c>
      <c r="T125" s="27" t="str">
        <f t="shared" si="19"/>
        <v/>
      </c>
      <c r="U125" s="1" t="str">
        <f t="shared" si="15"/>
        <v/>
      </c>
    </row>
    <row r="126" spans="2:21">
      <c r="B126" s="1">
        <f t="shared" si="16"/>
        <v>122</v>
      </c>
      <c r="C126" s="2">
        <v>45959</v>
      </c>
      <c r="D126" s="2" t="str">
        <f t="shared" si="10"/>
        <v>2025년</v>
      </c>
      <c r="E126" s="1" t="str">
        <f t="shared" si="11"/>
        <v>10월</v>
      </c>
      <c r="F126" s="1" t="str">
        <f t="shared" si="12"/>
        <v>2025년10월</v>
      </c>
      <c r="G126" s="1" t="s">
        <v>49</v>
      </c>
      <c r="H126" s="1" t="str">
        <f>IFERROR((VLOOKUP(G126,Backdata!G:H,2,0)),"")</f>
        <v>134-12-98663</v>
      </c>
      <c r="I126" s="1" t="s">
        <v>10</v>
      </c>
      <c r="J126" s="1" t="s">
        <v>24</v>
      </c>
      <c r="L126" s="1">
        <v>1</v>
      </c>
      <c r="M126" s="5">
        <v>40000</v>
      </c>
      <c r="N126" s="3">
        <f t="shared" si="17"/>
        <v>44000</v>
      </c>
      <c r="O126" s="5">
        <v>40000</v>
      </c>
      <c r="P126" s="3">
        <f t="shared" si="18"/>
        <v>44000</v>
      </c>
      <c r="Q126" s="3">
        <f t="shared" si="13"/>
        <v>0</v>
      </c>
      <c r="R126" s="1" t="s">
        <v>19</v>
      </c>
      <c r="T126" s="27" t="str">
        <f t="shared" si="19"/>
        <v/>
      </c>
      <c r="U126" s="1" t="str">
        <f t="shared" si="15"/>
        <v/>
      </c>
    </row>
    <row r="127" spans="2:21">
      <c r="B127" s="1">
        <f t="shared" si="16"/>
        <v>123</v>
      </c>
      <c r="C127" s="2">
        <v>45959</v>
      </c>
      <c r="D127" s="2" t="str">
        <f t="shared" si="10"/>
        <v>2025년</v>
      </c>
      <c r="E127" s="1" t="str">
        <f t="shared" si="11"/>
        <v>10월</v>
      </c>
      <c r="F127" s="1" t="str">
        <f t="shared" si="12"/>
        <v>2025년10월</v>
      </c>
      <c r="G127" s="1" t="s">
        <v>49</v>
      </c>
      <c r="H127" s="1" t="str">
        <f>IFERROR((VLOOKUP(G127,Backdata!G:H,2,0)),"")</f>
        <v>134-12-98663</v>
      </c>
      <c r="I127" s="1" t="s">
        <v>10</v>
      </c>
      <c r="J127" s="1" t="s">
        <v>24</v>
      </c>
      <c r="L127" s="1">
        <v>1</v>
      </c>
      <c r="M127" s="5">
        <v>150000</v>
      </c>
      <c r="N127" s="3">
        <f t="shared" si="17"/>
        <v>165000</v>
      </c>
      <c r="O127" s="5">
        <v>150000</v>
      </c>
      <c r="P127" s="3">
        <f t="shared" si="18"/>
        <v>165000</v>
      </c>
      <c r="Q127" s="3">
        <f t="shared" si="13"/>
        <v>0</v>
      </c>
      <c r="R127" s="1" t="s">
        <v>19</v>
      </c>
      <c r="T127" s="27" t="str">
        <f t="shared" si="19"/>
        <v/>
      </c>
      <c r="U127" s="1" t="str">
        <f t="shared" si="15"/>
        <v/>
      </c>
    </row>
    <row r="128" spans="2:21">
      <c r="B128" s="1">
        <f t="shared" si="16"/>
        <v>124</v>
      </c>
      <c r="C128" s="2">
        <v>45961</v>
      </c>
      <c r="D128" s="2" t="str">
        <f t="shared" si="10"/>
        <v>2025년</v>
      </c>
      <c r="E128" s="1" t="str">
        <f t="shared" si="11"/>
        <v>10월</v>
      </c>
      <c r="F128" s="1" t="str">
        <f t="shared" si="12"/>
        <v>2025년10월</v>
      </c>
      <c r="G128" s="1" t="s">
        <v>289</v>
      </c>
      <c r="H128" s="1" t="str">
        <f>IFERROR((VLOOKUP(G128,Backdata!G:H,2,0)),"")</f>
        <v>428-86-01083</v>
      </c>
      <c r="I128" s="1" t="s">
        <v>9</v>
      </c>
      <c r="J128" s="1" t="s">
        <v>54</v>
      </c>
      <c r="K128" s="1" t="s">
        <v>23</v>
      </c>
      <c r="L128" s="1">
        <v>4</v>
      </c>
      <c r="M128" s="5">
        <v>140000</v>
      </c>
      <c r="N128" s="3">
        <f t="shared" si="17"/>
        <v>616000</v>
      </c>
      <c r="O128" s="5">
        <v>120000</v>
      </c>
      <c r="P128" s="3">
        <f t="shared" si="18"/>
        <v>528000</v>
      </c>
      <c r="Q128" s="3">
        <f t="shared" si="13"/>
        <v>88000</v>
      </c>
      <c r="R128" s="1" t="s">
        <v>19</v>
      </c>
      <c r="T128" s="27" t="str">
        <f t="shared" si="19"/>
        <v/>
      </c>
      <c r="U128" s="1" t="str">
        <f t="shared" si="15"/>
        <v/>
      </c>
    </row>
    <row r="129" spans="2:22">
      <c r="B129" s="1">
        <f t="shared" si="16"/>
        <v>125</v>
      </c>
      <c r="C129" s="2">
        <v>45964</v>
      </c>
      <c r="D129" s="2" t="str">
        <f t="shared" si="10"/>
        <v>2025년</v>
      </c>
      <c r="E129" s="1" t="str">
        <f t="shared" si="11"/>
        <v>11월</v>
      </c>
      <c r="F129" s="1" t="str">
        <f t="shared" si="12"/>
        <v>2025년11월</v>
      </c>
      <c r="G129" s="1" t="s">
        <v>49</v>
      </c>
      <c r="H129" s="1" t="str">
        <f>IFERROR((VLOOKUP(G129,Backdata!G:H,2,0)),"")</f>
        <v>134-12-98663</v>
      </c>
      <c r="I129" s="1" t="s">
        <v>10</v>
      </c>
      <c r="J129" s="1" t="s">
        <v>12</v>
      </c>
      <c r="K129" s="1" t="s">
        <v>50</v>
      </c>
      <c r="L129" s="1">
        <v>4</v>
      </c>
      <c r="M129" s="5">
        <v>380000</v>
      </c>
      <c r="N129" s="3">
        <f t="shared" si="17"/>
        <v>1672000.0000000002</v>
      </c>
      <c r="O129" s="5">
        <v>270000</v>
      </c>
      <c r="P129" s="3">
        <f t="shared" si="18"/>
        <v>1188000</v>
      </c>
      <c r="Q129" s="3">
        <f t="shared" si="13"/>
        <v>484000.00000000023</v>
      </c>
      <c r="R129" s="1" t="s">
        <v>19</v>
      </c>
      <c r="T129" s="27" t="str">
        <f t="shared" si="19"/>
        <v/>
      </c>
      <c r="U129" s="1" t="str">
        <f t="shared" si="15"/>
        <v/>
      </c>
    </row>
    <row r="130" spans="2:22">
      <c r="B130" s="1">
        <f t="shared" si="16"/>
        <v>126</v>
      </c>
      <c r="C130" s="2">
        <v>45964</v>
      </c>
      <c r="D130" s="2" t="str">
        <f t="shared" si="10"/>
        <v>2025년</v>
      </c>
      <c r="E130" s="1" t="str">
        <f t="shared" si="11"/>
        <v>11월</v>
      </c>
      <c r="F130" s="1" t="str">
        <f t="shared" si="12"/>
        <v>2025년11월</v>
      </c>
      <c r="G130" s="1" t="s">
        <v>49</v>
      </c>
      <c r="H130" s="1" t="str">
        <f>IFERROR((VLOOKUP(G130,Backdata!G:H,2,0)),"")</f>
        <v>134-12-98663</v>
      </c>
      <c r="I130" s="1" t="s">
        <v>10</v>
      </c>
      <c r="J130" s="1" t="s">
        <v>63</v>
      </c>
      <c r="K130" s="1" t="s">
        <v>51</v>
      </c>
      <c r="L130" s="1">
        <v>2</v>
      </c>
      <c r="M130" s="5">
        <v>220000</v>
      </c>
      <c r="N130" s="3">
        <f t="shared" si="17"/>
        <v>484000.00000000006</v>
      </c>
      <c r="O130" s="5">
        <v>160000</v>
      </c>
      <c r="P130" s="3">
        <f t="shared" si="18"/>
        <v>352000</v>
      </c>
      <c r="Q130" s="3">
        <f t="shared" si="13"/>
        <v>132000.00000000006</v>
      </c>
      <c r="R130" s="1" t="s">
        <v>19</v>
      </c>
      <c r="T130" s="27" t="str">
        <f t="shared" si="19"/>
        <v/>
      </c>
      <c r="U130" s="1" t="str">
        <f t="shared" si="15"/>
        <v/>
      </c>
    </row>
    <row r="131" spans="2:22">
      <c r="B131" s="1">
        <f t="shared" si="16"/>
        <v>127</v>
      </c>
      <c r="C131" s="2">
        <v>45964</v>
      </c>
      <c r="D131" s="2" t="str">
        <f t="shared" si="10"/>
        <v>2025년</v>
      </c>
      <c r="E131" s="1" t="str">
        <f t="shared" si="11"/>
        <v>11월</v>
      </c>
      <c r="F131" s="1" t="str">
        <f t="shared" si="12"/>
        <v>2025년11월</v>
      </c>
      <c r="G131" s="1" t="s">
        <v>49</v>
      </c>
      <c r="H131" s="1" t="str">
        <f>IFERROR((VLOOKUP(G131,Backdata!G:H,2,0)),"")</f>
        <v>134-12-98663</v>
      </c>
      <c r="I131" s="1" t="s">
        <v>10</v>
      </c>
      <c r="J131" s="1" t="s">
        <v>24</v>
      </c>
      <c r="L131" s="1">
        <v>1</v>
      </c>
      <c r="M131" s="5">
        <v>100000</v>
      </c>
      <c r="N131" s="3">
        <f t="shared" si="17"/>
        <v>110000.00000000001</v>
      </c>
      <c r="O131" s="5">
        <v>100000</v>
      </c>
      <c r="P131" s="3">
        <f t="shared" si="18"/>
        <v>110000.00000000001</v>
      </c>
      <c r="Q131" s="3">
        <f t="shared" si="13"/>
        <v>0</v>
      </c>
      <c r="R131" s="1" t="s">
        <v>19</v>
      </c>
      <c r="T131" s="27" t="str">
        <f t="shared" si="19"/>
        <v/>
      </c>
      <c r="U131" s="1" t="str">
        <f t="shared" si="15"/>
        <v/>
      </c>
    </row>
    <row r="132" spans="2:22" hidden="1">
      <c r="B132" s="1">
        <f t="shared" si="16"/>
        <v>128</v>
      </c>
      <c r="C132" s="2">
        <v>45964</v>
      </c>
      <c r="D132" s="2" t="str">
        <f t="shared" si="10"/>
        <v>2025년</v>
      </c>
      <c r="E132" s="1" t="str">
        <f t="shared" si="11"/>
        <v>11월</v>
      </c>
      <c r="F132" s="1" t="str">
        <f t="shared" si="12"/>
        <v>2025년11월</v>
      </c>
      <c r="G132" s="1" t="s">
        <v>224</v>
      </c>
      <c r="H132" s="1" t="str">
        <f>IFERROR((VLOOKUP(G132,Backdata!G:H,2,0)),"")</f>
        <v>318-81-11047</v>
      </c>
      <c r="I132" s="1" t="s">
        <v>46</v>
      </c>
      <c r="J132" s="1" t="s">
        <v>53</v>
      </c>
      <c r="K132" s="1" t="s">
        <v>52</v>
      </c>
      <c r="L132" s="1">
        <v>1</v>
      </c>
      <c r="M132" s="5">
        <v>630000</v>
      </c>
      <c r="N132" s="3">
        <f t="shared" si="17"/>
        <v>693000</v>
      </c>
      <c r="O132" s="5">
        <v>580000</v>
      </c>
      <c r="P132" s="3">
        <f t="shared" si="18"/>
        <v>638000</v>
      </c>
      <c r="Q132" s="3">
        <f t="shared" si="13"/>
        <v>55000</v>
      </c>
      <c r="R132" s="1" t="s">
        <v>19</v>
      </c>
      <c r="T132" s="27">
        <f t="shared" si="19"/>
        <v>45964</v>
      </c>
      <c r="U132" s="1" t="str">
        <f t="shared" si="15"/>
        <v>완료</v>
      </c>
    </row>
    <row r="133" spans="2:22" hidden="1">
      <c r="B133" s="1">
        <f t="shared" si="16"/>
        <v>129</v>
      </c>
      <c r="C133" s="2">
        <v>45965</v>
      </c>
      <c r="D133" s="2" t="str">
        <f t="shared" ref="D133:D196" si="20">IF((C133=""),"",(YEAR(C133)&amp;"년"))</f>
        <v>2025년</v>
      </c>
      <c r="E133" s="1" t="str">
        <f t="shared" ref="E133:E196" si="21">IF((C133=""),"",(MONTH(C133)&amp;"월"))</f>
        <v>11월</v>
      </c>
      <c r="F133" s="1" t="str">
        <f t="shared" ref="F133:F196" si="22">CONCATENATE(D133,E133)</f>
        <v>2025년11월</v>
      </c>
      <c r="G133" s="1" t="s">
        <v>235</v>
      </c>
      <c r="H133" s="1" t="str">
        <f>IFERROR((VLOOKUP(G133,Backdata!G:H,2,0)),"")</f>
        <v>235-86-01235</v>
      </c>
      <c r="I133" s="1" t="s">
        <v>46</v>
      </c>
      <c r="J133" s="1" t="s">
        <v>131</v>
      </c>
      <c r="K133" s="1" t="s">
        <v>47</v>
      </c>
      <c r="L133" s="1">
        <v>1</v>
      </c>
      <c r="M133" s="5">
        <v>1450000</v>
      </c>
      <c r="N133" s="3">
        <f t="shared" si="17"/>
        <v>1595000.0000000002</v>
      </c>
      <c r="O133" s="5">
        <v>1000000</v>
      </c>
      <c r="P133" s="3">
        <f t="shared" si="18"/>
        <v>1100000</v>
      </c>
      <c r="Q133" s="3">
        <f t="shared" ref="Q133:Q196" si="23">N133-P133</f>
        <v>495000.00000000023</v>
      </c>
      <c r="R133" s="1" t="s">
        <v>19</v>
      </c>
      <c r="T133" s="27">
        <f t="shared" ref="T133:T147" si="24">IF(OR(I133="타이어",I133=""),"",C133)</f>
        <v>45965</v>
      </c>
      <c r="U133" s="1" t="str">
        <f t="shared" ref="U133:U196" si="25">IF(T133="","","완료")</f>
        <v>완료</v>
      </c>
    </row>
    <row r="134" spans="2:22">
      <c r="B134" s="1">
        <f t="shared" ref="B134:B197" si="26">B133+1</f>
        <v>130</v>
      </c>
      <c r="C134" s="2">
        <v>45968</v>
      </c>
      <c r="D134" s="2" t="str">
        <f t="shared" si="20"/>
        <v>2025년</v>
      </c>
      <c r="E134" s="1" t="str">
        <f t="shared" si="21"/>
        <v>11월</v>
      </c>
      <c r="F134" s="1" t="str">
        <f t="shared" si="22"/>
        <v>2025년11월</v>
      </c>
      <c r="G134" s="1" t="s">
        <v>289</v>
      </c>
      <c r="H134" s="1" t="str">
        <f>IFERROR((VLOOKUP(G134,Backdata!G:H,2,0)),"")</f>
        <v>428-86-01083</v>
      </c>
      <c r="I134" s="1" t="s">
        <v>10</v>
      </c>
      <c r="J134" s="1" t="s">
        <v>12</v>
      </c>
      <c r="K134" s="1" t="s">
        <v>48</v>
      </c>
      <c r="L134" s="1">
        <v>2</v>
      </c>
      <c r="M134" s="5">
        <v>105000</v>
      </c>
      <c r="N134" s="3">
        <f t="shared" ref="N134:N197" si="27">M134*L134*1.1</f>
        <v>231000.00000000003</v>
      </c>
      <c r="O134" s="5">
        <v>100000</v>
      </c>
      <c r="P134" s="3">
        <f t="shared" ref="P134:P197" si="28">O134*L134*1.1</f>
        <v>220000.00000000003</v>
      </c>
      <c r="Q134" s="3">
        <f t="shared" si="23"/>
        <v>11000</v>
      </c>
      <c r="R134" s="1" t="s">
        <v>19</v>
      </c>
      <c r="T134" s="27" t="str">
        <f t="shared" si="24"/>
        <v/>
      </c>
      <c r="U134" s="1" t="str">
        <f t="shared" si="25"/>
        <v/>
      </c>
      <c r="V134" s="1" t="s">
        <v>18</v>
      </c>
    </row>
    <row r="135" spans="2:22">
      <c r="B135" s="1">
        <f t="shared" si="26"/>
        <v>131</v>
      </c>
      <c r="C135" s="2">
        <v>45971</v>
      </c>
      <c r="D135" s="2" t="str">
        <f t="shared" si="20"/>
        <v>2025년</v>
      </c>
      <c r="E135" s="1" t="str">
        <f t="shared" si="21"/>
        <v>11월</v>
      </c>
      <c r="F135" s="1" t="str">
        <f t="shared" si="22"/>
        <v>2025년11월</v>
      </c>
      <c r="G135" s="1" t="s">
        <v>39</v>
      </c>
      <c r="H135" s="1" t="str">
        <f>IFERROR((VLOOKUP(G135,Backdata!G:H,2,0)),"")</f>
        <v>622-09-69331</v>
      </c>
      <c r="I135" s="1" t="s">
        <v>133</v>
      </c>
      <c r="J135" s="1" t="s">
        <v>41</v>
      </c>
      <c r="K135" s="1" t="s">
        <v>42</v>
      </c>
      <c r="L135" s="1">
        <v>14</v>
      </c>
      <c r="M135" s="5">
        <v>1670000</v>
      </c>
      <c r="N135" s="3">
        <f t="shared" si="27"/>
        <v>25718000.000000004</v>
      </c>
      <c r="O135" s="5">
        <v>1280000</v>
      </c>
      <c r="P135" s="3">
        <f t="shared" si="28"/>
        <v>19712000</v>
      </c>
      <c r="Q135" s="3">
        <f t="shared" si="23"/>
        <v>6006000.0000000037</v>
      </c>
      <c r="R135" s="1" t="s">
        <v>19</v>
      </c>
      <c r="T135" s="27">
        <f t="shared" si="24"/>
        <v>45971</v>
      </c>
      <c r="U135" s="1" t="str">
        <f t="shared" si="25"/>
        <v>완료</v>
      </c>
    </row>
    <row r="136" spans="2:22">
      <c r="B136" s="1">
        <f t="shared" si="26"/>
        <v>132</v>
      </c>
      <c r="C136" s="2">
        <v>45971</v>
      </c>
      <c r="D136" s="2" t="str">
        <f t="shared" si="20"/>
        <v>2025년</v>
      </c>
      <c r="E136" s="1" t="str">
        <f t="shared" si="21"/>
        <v>11월</v>
      </c>
      <c r="F136" s="1" t="str">
        <f t="shared" si="22"/>
        <v>2025년11월</v>
      </c>
      <c r="G136" s="1" t="s">
        <v>39</v>
      </c>
      <c r="H136" s="1" t="str">
        <f>IFERROR((VLOOKUP(G136,Backdata!G:H,2,0)),"")</f>
        <v>622-09-69331</v>
      </c>
      <c r="I136" s="1" t="s">
        <v>133</v>
      </c>
      <c r="J136" s="1" t="s">
        <v>43</v>
      </c>
      <c r="K136" s="1" t="s">
        <v>44</v>
      </c>
      <c r="L136" s="1">
        <v>1</v>
      </c>
      <c r="M136" s="5">
        <v>350000</v>
      </c>
      <c r="N136" s="3">
        <f t="shared" si="27"/>
        <v>385000.00000000006</v>
      </c>
      <c r="O136" s="5">
        <v>350000</v>
      </c>
      <c r="P136" s="3">
        <f t="shared" si="28"/>
        <v>385000.00000000006</v>
      </c>
      <c r="Q136" s="3">
        <f t="shared" si="23"/>
        <v>0</v>
      </c>
      <c r="R136" s="1" t="s">
        <v>19</v>
      </c>
      <c r="T136" s="27">
        <f t="shared" si="24"/>
        <v>45971</v>
      </c>
      <c r="U136" s="1" t="str">
        <f t="shared" si="25"/>
        <v>완료</v>
      </c>
    </row>
    <row r="137" spans="2:22">
      <c r="B137" s="1">
        <f t="shared" si="26"/>
        <v>133</v>
      </c>
      <c r="C137" s="2">
        <v>45971</v>
      </c>
      <c r="D137" s="2" t="str">
        <f t="shared" si="20"/>
        <v>2025년</v>
      </c>
      <c r="E137" s="1" t="str">
        <f t="shared" si="21"/>
        <v>11월</v>
      </c>
      <c r="F137" s="1" t="str">
        <f t="shared" si="22"/>
        <v>2025년11월</v>
      </c>
      <c r="G137" s="1" t="s">
        <v>39</v>
      </c>
      <c r="H137" s="1" t="str">
        <f>IFERROR((VLOOKUP(G137,Backdata!G:H,2,0)),"")</f>
        <v>622-09-69331</v>
      </c>
      <c r="I137" s="1" t="s">
        <v>133</v>
      </c>
      <c r="J137" s="1" t="s">
        <v>34</v>
      </c>
      <c r="L137" s="1">
        <v>14</v>
      </c>
      <c r="M137" s="5">
        <v>100000</v>
      </c>
      <c r="N137" s="3">
        <f t="shared" si="27"/>
        <v>1540000.0000000002</v>
      </c>
      <c r="O137" s="5"/>
      <c r="P137" s="3">
        <f t="shared" si="28"/>
        <v>0</v>
      </c>
      <c r="Q137" s="3">
        <f t="shared" si="23"/>
        <v>1540000.0000000002</v>
      </c>
      <c r="R137" s="1" t="s">
        <v>19</v>
      </c>
      <c r="T137" s="27">
        <f t="shared" si="24"/>
        <v>45971</v>
      </c>
      <c r="U137" s="1" t="str">
        <f t="shared" si="25"/>
        <v>완료</v>
      </c>
    </row>
    <row r="138" spans="2:22" hidden="1">
      <c r="B138" s="1">
        <f t="shared" si="26"/>
        <v>134</v>
      </c>
      <c r="C138" s="2">
        <v>45973</v>
      </c>
      <c r="D138" s="2" t="str">
        <f t="shared" si="20"/>
        <v>2025년</v>
      </c>
      <c r="E138" s="1" t="str">
        <f t="shared" si="21"/>
        <v>11월</v>
      </c>
      <c r="F138" s="1" t="str">
        <f t="shared" si="22"/>
        <v>2025년11월</v>
      </c>
      <c r="G138" s="1" t="s">
        <v>235</v>
      </c>
      <c r="H138" s="1" t="str">
        <f>IFERROR((VLOOKUP(G138,Backdata!G:H,2,0)),"")</f>
        <v>235-86-01235</v>
      </c>
      <c r="I138" s="1" t="s">
        <v>46</v>
      </c>
      <c r="J138" s="1" t="s">
        <v>131</v>
      </c>
      <c r="K138" s="1" t="s">
        <v>47</v>
      </c>
      <c r="L138" s="1">
        <v>1</v>
      </c>
      <c r="M138" s="5">
        <v>1000000</v>
      </c>
      <c r="N138" s="3">
        <f t="shared" si="27"/>
        <v>1100000</v>
      </c>
      <c r="O138" s="5">
        <v>1000000</v>
      </c>
      <c r="P138" s="3">
        <f t="shared" si="28"/>
        <v>1100000</v>
      </c>
      <c r="Q138" s="3">
        <f t="shared" si="23"/>
        <v>0</v>
      </c>
      <c r="R138" s="1" t="s">
        <v>19</v>
      </c>
      <c r="T138" s="27">
        <f t="shared" si="24"/>
        <v>45973</v>
      </c>
      <c r="U138" s="1" t="str">
        <f t="shared" si="25"/>
        <v>완료</v>
      </c>
    </row>
    <row r="139" spans="2:22">
      <c r="B139" s="1">
        <f t="shared" si="26"/>
        <v>135</v>
      </c>
      <c r="C139" s="2">
        <v>45974</v>
      </c>
      <c r="D139" s="2" t="str">
        <f t="shared" si="20"/>
        <v>2025년</v>
      </c>
      <c r="E139" s="1" t="str">
        <f t="shared" si="21"/>
        <v>11월</v>
      </c>
      <c r="F139" s="1" t="str">
        <f t="shared" si="22"/>
        <v>2025년11월</v>
      </c>
      <c r="G139" s="1" t="s">
        <v>289</v>
      </c>
      <c r="H139" s="1" t="str">
        <f>IFERROR((VLOOKUP(G139,Backdata!G:H,2,0)),"")</f>
        <v>428-86-01083</v>
      </c>
      <c r="I139" s="1" t="s">
        <v>10</v>
      </c>
      <c r="J139" s="1" t="s">
        <v>12</v>
      </c>
      <c r="K139" s="1" t="s">
        <v>45</v>
      </c>
      <c r="L139" s="1">
        <v>2</v>
      </c>
      <c r="M139" s="5">
        <v>231000</v>
      </c>
      <c r="N139" s="3">
        <f t="shared" si="27"/>
        <v>508200.00000000006</v>
      </c>
      <c r="O139" s="5">
        <v>220000</v>
      </c>
      <c r="P139" s="3">
        <f t="shared" si="28"/>
        <v>484000.00000000006</v>
      </c>
      <c r="Q139" s="3">
        <f t="shared" si="23"/>
        <v>24200</v>
      </c>
      <c r="R139" s="1" t="s">
        <v>19</v>
      </c>
      <c r="T139" s="27" t="str">
        <f t="shared" si="24"/>
        <v/>
      </c>
      <c r="U139" s="1" t="str">
        <f t="shared" si="25"/>
        <v/>
      </c>
    </row>
    <row r="140" spans="2:22">
      <c r="B140" s="1">
        <f t="shared" si="26"/>
        <v>136</v>
      </c>
      <c r="C140" s="2">
        <v>45981</v>
      </c>
      <c r="D140" s="2" t="str">
        <f t="shared" si="20"/>
        <v>2025년</v>
      </c>
      <c r="E140" s="1" t="str">
        <f t="shared" si="21"/>
        <v>11월</v>
      </c>
      <c r="F140" s="1" t="str">
        <f t="shared" si="22"/>
        <v>2025년11월</v>
      </c>
      <c r="G140" s="1" t="s">
        <v>169</v>
      </c>
      <c r="H140" s="1" t="str">
        <f>IFERROR((VLOOKUP(G140,Backdata!G:H,2,0)),"")</f>
        <v>502-81-47188</v>
      </c>
      <c r="I140" s="1" t="s">
        <v>10</v>
      </c>
      <c r="J140" s="1" t="s">
        <v>36</v>
      </c>
      <c r="K140" s="1" t="s">
        <v>37</v>
      </c>
      <c r="L140" s="1">
        <v>6</v>
      </c>
      <c r="M140" s="5">
        <v>325000</v>
      </c>
      <c r="N140" s="3">
        <f t="shared" si="27"/>
        <v>2145000</v>
      </c>
      <c r="O140" s="5">
        <v>295000</v>
      </c>
      <c r="P140" s="3">
        <f t="shared" si="28"/>
        <v>1947000.0000000002</v>
      </c>
      <c r="Q140" s="3">
        <f t="shared" si="23"/>
        <v>197999.99999999977</v>
      </c>
      <c r="R140" s="1" t="s">
        <v>19</v>
      </c>
      <c r="T140" s="27" t="str">
        <f t="shared" si="24"/>
        <v/>
      </c>
      <c r="U140" s="1" t="str">
        <f t="shared" si="25"/>
        <v/>
      </c>
    </row>
    <row r="141" spans="2:22">
      <c r="B141" s="1">
        <f t="shared" si="26"/>
        <v>137</v>
      </c>
      <c r="C141" s="2">
        <v>45981</v>
      </c>
      <c r="D141" s="2" t="str">
        <f t="shared" si="20"/>
        <v>2025년</v>
      </c>
      <c r="E141" s="1" t="str">
        <f t="shared" si="21"/>
        <v>11월</v>
      </c>
      <c r="F141" s="1" t="str">
        <f t="shared" si="22"/>
        <v>2025년11월</v>
      </c>
      <c r="G141" s="1" t="s">
        <v>169</v>
      </c>
      <c r="H141" s="1" t="str">
        <f>IFERROR((VLOOKUP(G141,Backdata!G:H,2,0)),"")</f>
        <v>502-81-47188</v>
      </c>
      <c r="I141" s="1" t="s">
        <v>9</v>
      </c>
      <c r="J141" s="1" t="s">
        <v>38</v>
      </c>
      <c r="K141" s="1" t="s">
        <v>37</v>
      </c>
      <c r="L141" s="1">
        <v>20</v>
      </c>
      <c r="M141" s="5">
        <v>385000</v>
      </c>
      <c r="N141" s="3">
        <f t="shared" si="27"/>
        <v>8470000</v>
      </c>
      <c r="O141" s="5">
        <v>355000</v>
      </c>
      <c r="P141" s="3">
        <f t="shared" si="28"/>
        <v>7810000.0000000009</v>
      </c>
      <c r="Q141" s="3">
        <f t="shared" si="23"/>
        <v>659999.99999999907</v>
      </c>
      <c r="R141" s="1" t="s">
        <v>19</v>
      </c>
      <c r="T141" s="27" t="str">
        <f t="shared" si="24"/>
        <v/>
      </c>
      <c r="U141" s="1" t="str">
        <f t="shared" si="25"/>
        <v/>
      </c>
    </row>
    <row r="142" spans="2:22">
      <c r="B142" s="1">
        <f t="shared" si="26"/>
        <v>138</v>
      </c>
      <c r="C142" s="2">
        <v>45981</v>
      </c>
      <c r="D142" s="2" t="str">
        <f t="shared" si="20"/>
        <v>2025년</v>
      </c>
      <c r="E142" s="1" t="str">
        <f t="shared" si="21"/>
        <v>11월</v>
      </c>
      <c r="F142" s="1" t="str">
        <f t="shared" si="22"/>
        <v>2025년11월</v>
      </c>
      <c r="G142" s="1" t="s">
        <v>169</v>
      </c>
      <c r="H142" s="1" t="str">
        <f>IFERROR((VLOOKUP(G142,Backdata!G:H,2,0)),"")</f>
        <v>502-81-47188</v>
      </c>
      <c r="I142" s="1" t="s">
        <v>10</v>
      </c>
      <c r="J142" s="1" t="s">
        <v>24</v>
      </c>
      <c r="L142" s="1">
        <v>20</v>
      </c>
      <c r="M142" s="5">
        <v>10000</v>
      </c>
      <c r="N142" s="3">
        <f t="shared" si="27"/>
        <v>220000.00000000003</v>
      </c>
      <c r="O142" s="5">
        <v>10000</v>
      </c>
      <c r="P142" s="3">
        <f t="shared" si="28"/>
        <v>220000.00000000003</v>
      </c>
      <c r="Q142" s="3">
        <f t="shared" si="23"/>
        <v>0</v>
      </c>
      <c r="R142" s="1" t="s">
        <v>19</v>
      </c>
      <c r="T142" s="27" t="str">
        <f t="shared" si="24"/>
        <v/>
      </c>
      <c r="U142" s="1" t="str">
        <f t="shared" si="25"/>
        <v/>
      </c>
    </row>
    <row r="143" spans="2:22">
      <c r="B143" s="1">
        <f t="shared" si="26"/>
        <v>139</v>
      </c>
      <c r="C143" s="2">
        <v>45982</v>
      </c>
      <c r="D143" s="2" t="str">
        <f t="shared" si="20"/>
        <v>2025년</v>
      </c>
      <c r="E143" s="1" t="str">
        <f t="shared" si="21"/>
        <v>11월</v>
      </c>
      <c r="F143" s="1" t="str">
        <f t="shared" si="22"/>
        <v>2025년11월</v>
      </c>
      <c r="G143" s="1" t="s">
        <v>289</v>
      </c>
      <c r="H143" s="1" t="str">
        <f>IFERROR((VLOOKUP(G143,Backdata!G:H,2,0)),"")</f>
        <v>428-86-01083</v>
      </c>
      <c r="I143" s="1" t="s">
        <v>29</v>
      </c>
      <c r="J143" s="1" t="s">
        <v>30</v>
      </c>
      <c r="K143" s="1" t="s">
        <v>32</v>
      </c>
      <c r="L143" s="1">
        <v>2</v>
      </c>
      <c r="M143" s="5">
        <v>2000000</v>
      </c>
      <c r="N143" s="3">
        <f t="shared" si="27"/>
        <v>4400000</v>
      </c>
      <c r="O143" s="5"/>
      <c r="P143" s="3">
        <f t="shared" si="28"/>
        <v>0</v>
      </c>
      <c r="Q143" s="3">
        <f t="shared" si="23"/>
        <v>4400000</v>
      </c>
      <c r="R143" s="1" t="s">
        <v>19</v>
      </c>
      <c r="S143" s="1" t="s">
        <v>19</v>
      </c>
      <c r="T143" s="27">
        <f t="shared" si="24"/>
        <v>45982</v>
      </c>
      <c r="U143" s="1" t="str">
        <f t="shared" si="25"/>
        <v>완료</v>
      </c>
      <c r="V143" s="1" t="s">
        <v>18</v>
      </c>
    </row>
    <row r="144" spans="2:22">
      <c r="B144" s="1">
        <f t="shared" si="26"/>
        <v>140</v>
      </c>
      <c r="C144" s="2">
        <v>45982</v>
      </c>
      <c r="D144" s="2" t="str">
        <f t="shared" si="20"/>
        <v>2025년</v>
      </c>
      <c r="E144" s="1" t="str">
        <f t="shared" si="21"/>
        <v>11월</v>
      </c>
      <c r="F144" s="1" t="str">
        <f t="shared" si="22"/>
        <v>2025년11월</v>
      </c>
      <c r="G144" s="1" t="s">
        <v>33</v>
      </c>
      <c r="H144" s="1" t="str">
        <f>IFERROR((VLOOKUP(G144,Backdata!G:H,2,0)),"")</f>
        <v>476-46-00898</v>
      </c>
      <c r="I144" s="1" t="s">
        <v>10</v>
      </c>
      <c r="J144" s="1" t="s">
        <v>12</v>
      </c>
      <c r="K144" s="1" t="s">
        <v>23</v>
      </c>
      <c r="L144" s="1">
        <v>4</v>
      </c>
      <c r="M144" s="5">
        <v>230000</v>
      </c>
      <c r="N144" s="3">
        <f t="shared" si="27"/>
        <v>1012000.0000000001</v>
      </c>
      <c r="O144" s="5">
        <v>200000</v>
      </c>
      <c r="P144" s="3">
        <f t="shared" si="28"/>
        <v>880000.00000000012</v>
      </c>
      <c r="Q144" s="3">
        <f t="shared" si="23"/>
        <v>132000</v>
      </c>
      <c r="R144" s="1" t="s">
        <v>19</v>
      </c>
      <c r="T144" s="27" t="str">
        <f t="shared" si="24"/>
        <v/>
      </c>
      <c r="U144" s="1" t="str">
        <f t="shared" si="25"/>
        <v/>
      </c>
    </row>
    <row r="145" spans="2:22">
      <c r="B145" s="1">
        <f t="shared" si="26"/>
        <v>141</v>
      </c>
      <c r="C145" s="2">
        <v>45982</v>
      </c>
      <c r="D145" s="2" t="str">
        <f t="shared" si="20"/>
        <v>2025년</v>
      </c>
      <c r="E145" s="1" t="str">
        <f t="shared" si="21"/>
        <v>11월</v>
      </c>
      <c r="F145" s="1" t="str">
        <f t="shared" si="22"/>
        <v>2025년11월</v>
      </c>
      <c r="G145" s="1" t="s">
        <v>33</v>
      </c>
      <c r="H145" s="1" t="str">
        <f>IFERROR((VLOOKUP(G145,Backdata!G:H,2,0)),"")</f>
        <v>476-46-00898</v>
      </c>
      <c r="I145" s="1" t="s">
        <v>10</v>
      </c>
      <c r="J145" s="1" t="s">
        <v>12</v>
      </c>
      <c r="K145" s="1" t="s">
        <v>22</v>
      </c>
      <c r="L145" s="1">
        <v>2</v>
      </c>
      <c r="M145" s="5">
        <v>180000</v>
      </c>
      <c r="N145" s="3">
        <f t="shared" si="27"/>
        <v>396000.00000000006</v>
      </c>
      <c r="O145" s="5">
        <v>160000</v>
      </c>
      <c r="P145" s="3">
        <f t="shared" si="28"/>
        <v>352000</v>
      </c>
      <c r="Q145" s="3">
        <f t="shared" si="23"/>
        <v>44000.000000000058</v>
      </c>
      <c r="R145" s="1" t="s">
        <v>19</v>
      </c>
      <c r="T145" s="27" t="str">
        <f t="shared" si="24"/>
        <v/>
      </c>
      <c r="U145" s="1" t="str">
        <f t="shared" si="25"/>
        <v/>
      </c>
    </row>
    <row r="146" spans="2:22">
      <c r="B146" s="1">
        <f t="shared" si="26"/>
        <v>142</v>
      </c>
      <c r="C146" s="2">
        <v>45982</v>
      </c>
      <c r="D146" s="2" t="str">
        <f t="shared" si="20"/>
        <v>2025년</v>
      </c>
      <c r="E146" s="1" t="str">
        <f t="shared" si="21"/>
        <v>11월</v>
      </c>
      <c r="F146" s="1" t="str">
        <f t="shared" si="22"/>
        <v>2025년11월</v>
      </c>
      <c r="G146" s="1" t="s">
        <v>33</v>
      </c>
      <c r="H146" s="1" t="str">
        <f>IFERROR((VLOOKUP(G146,Backdata!G:H,2,0)),"")</f>
        <v>476-46-00898</v>
      </c>
      <c r="I146" s="1" t="s">
        <v>9</v>
      </c>
      <c r="J146" s="1" t="s">
        <v>34</v>
      </c>
      <c r="L146" s="1">
        <v>6</v>
      </c>
      <c r="M146" s="5">
        <v>25000</v>
      </c>
      <c r="N146" s="3">
        <f t="shared" si="27"/>
        <v>165000</v>
      </c>
      <c r="O146" s="5">
        <v>20000</v>
      </c>
      <c r="P146" s="3">
        <f t="shared" si="28"/>
        <v>132000</v>
      </c>
      <c r="Q146" s="3">
        <f t="shared" si="23"/>
        <v>33000</v>
      </c>
      <c r="R146" s="1" t="s">
        <v>19</v>
      </c>
      <c r="T146" s="27" t="str">
        <f t="shared" si="24"/>
        <v/>
      </c>
      <c r="U146" s="1" t="str">
        <f t="shared" si="25"/>
        <v/>
      </c>
    </row>
    <row r="147" spans="2:22" hidden="1">
      <c r="B147" s="1">
        <f t="shared" si="26"/>
        <v>143</v>
      </c>
      <c r="C147" s="2">
        <v>45986</v>
      </c>
      <c r="D147" s="2" t="str">
        <f t="shared" si="20"/>
        <v>2025년</v>
      </c>
      <c r="E147" s="1" t="str">
        <f t="shared" si="21"/>
        <v>11월</v>
      </c>
      <c r="F147" s="1" t="str">
        <f t="shared" si="22"/>
        <v>2025년11월</v>
      </c>
      <c r="G147" s="1" t="s">
        <v>235</v>
      </c>
      <c r="H147" s="1" t="str">
        <f>IFERROR((VLOOKUP(G147,Backdata!G:H,2,0)),"")</f>
        <v>235-86-01235</v>
      </c>
      <c r="I147" s="1" t="s">
        <v>28</v>
      </c>
      <c r="J147" s="1" t="s">
        <v>30</v>
      </c>
      <c r="K147" s="1" t="s">
        <v>31</v>
      </c>
      <c r="L147" s="1">
        <v>2</v>
      </c>
      <c r="M147" s="5">
        <v>1100000</v>
      </c>
      <c r="N147" s="3">
        <f t="shared" si="27"/>
        <v>2420000</v>
      </c>
      <c r="O147" s="5">
        <v>800000</v>
      </c>
      <c r="P147" s="3">
        <f t="shared" si="28"/>
        <v>1760000.0000000002</v>
      </c>
      <c r="Q147" s="3">
        <f t="shared" si="23"/>
        <v>659999.99999999977</v>
      </c>
      <c r="R147" s="1" t="s">
        <v>19</v>
      </c>
      <c r="S147" s="1" t="s">
        <v>19</v>
      </c>
      <c r="T147" s="27">
        <f t="shared" si="24"/>
        <v>45986</v>
      </c>
      <c r="U147" s="1" t="str">
        <f t="shared" si="25"/>
        <v>완료</v>
      </c>
      <c r="V147" s="1" t="s">
        <v>18</v>
      </c>
    </row>
    <row r="148" spans="2:22">
      <c r="B148" s="1">
        <f t="shared" si="26"/>
        <v>144</v>
      </c>
      <c r="C148" s="2">
        <v>45994</v>
      </c>
      <c r="D148" s="2" t="str">
        <f t="shared" si="20"/>
        <v>2025년</v>
      </c>
      <c r="E148" s="1" t="str">
        <f t="shared" si="21"/>
        <v>12월</v>
      </c>
      <c r="F148" s="1" t="str">
        <f t="shared" si="22"/>
        <v>2025년12월</v>
      </c>
      <c r="G148" s="2" t="s">
        <v>298</v>
      </c>
      <c r="H148" s="1" t="str">
        <f>IFERROR((VLOOKUP(G148,Backdata!G:H,2,0)),"")</f>
        <v>312-86-18125</v>
      </c>
      <c r="I148" s="1" t="s">
        <v>10</v>
      </c>
      <c r="J148" s="7" t="s">
        <v>12</v>
      </c>
      <c r="K148" s="1" t="s">
        <v>13</v>
      </c>
      <c r="L148" s="1">
        <v>2</v>
      </c>
      <c r="M148" s="5">
        <v>87000</v>
      </c>
      <c r="N148" s="3">
        <f t="shared" si="27"/>
        <v>191400.00000000003</v>
      </c>
      <c r="O148" s="5">
        <v>80000</v>
      </c>
      <c r="P148" s="3">
        <f t="shared" si="28"/>
        <v>176000</v>
      </c>
      <c r="Q148" s="3">
        <f t="shared" si="23"/>
        <v>15400.000000000029</v>
      </c>
      <c r="R148" s="1" t="s">
        <v>19</v>
      </c>
      <c r="S148" s="1" t="s">
        <v>19</v>
      </c>
      <c r="T148" s="27">
        <v>45996</v>
      </c>
      <c r="U148" s="1" t="str">
        <f t="shared" si="25"/>
        <v>완료</v>
      </c>
    </row>
    <row r="149" spans="2:22" hidden="1">
      <c r="B149" s="1">
        <f t="shared" si="26"/>
        <v>145</v>
      </c>
      <c r="C149" s="2">
        <v>45994</v>
      </c>
      <c r="D149" s="2" t="str">
        <f t="shared" si="20"/>
        <v>2025년</v>
      </c>
      <c r="E149" s="1" t="str">
        <f t="shared" si="21"/>
        <v>12월</v>
      </c>
      <c r="F149" s="1" t="str">
        <f t="shared" si="22"/>
        <v>2025년12월</v>
      </c>
      <c r="G149" s="1" t="s">
        <v>224</v>
      </c>
      <c r="H149" s="1" t="str">
        <f>IFERROR((VLOOKUP(G149,Backdata!G:H,2,0)),"")</f>
        <v>318-81-11047</v>
      </c>
      <c r="I149" s="1" t="s">
        <v>46</v>
      </c>
      <c r="J149" s="1" t="s">
        <v>53</v>
      </c>
      <c r="K149" s="1" t="s">
        <v>52</v>
      </c>
      <c r="L149" s="1">
        <v>1</v>
      </c>
      <c r="M149" s="5">
        <v>630000</v>
      </c>
      <c r="N149" s="3">
        <f t="shared" si="27"/>
        <v>693000</v>
      </c>
      <c r="O149" s="5">
        <v>580000</v>
      </c>
      <c r="P149" s="3">
        <f t="shared" si="28"/>
        <v>638000</v>
      </c>
      <c r="Q149" s="3">
        <f t="shared" si="23"/>
        <v>55000</v>
      </c>
      <c r="R149" s="1" t="s">
        <v>19</v>
      </c>
      <c r="S149" s="1" t="s">
        <v>19</v>
      </c>
      <c r="T149" s="27">
        <f>IF(OR(I149="타이어",I149=""),"",C149)</f>
        <v>45994</v>
      </c>
      <c r="U149" s="1" t="str">
        <f t="shared" si="25"/>
        <v>완료</v>
      </c>
      <c r="V149" s="1" t="s">
        <v>18</v>
      </c>
    </row>
    <row r="150" spans="2:22" hidden="1">
      <c r="B150" s="1">
        <f t="shared" si="26"/>
        <v>146</v>
      </c>
      <c r="C150" s="2">
        <v>45995</v>
      </c>
      <c r="D150" s="2" t="str">
        <f t="shared" si="20"/>
        <v>2025년</v>
      </c>
      <c r="E150" s="1" t="str">
        <f t="shared" si="21"/>
        <v>12월</v>
      </c>
      <c r="F150" s="1" t="str">
        <f t="shared" si="22"/>
        <v>2025년12월</v>
      </c>
      <c r="G150" s="1" t="s">
        <v>235</v>
      </c>
      <c r="H150" s="1" t="str">
        <f>IFERROR((VLOOKUP(G150,Backdata!G:H,2,0)),"")</f>
        <v>235-86-01235</v>
      </c>
      <c r="I150" s="1" t="s">
        <v>46</v>
      </c>
      <c r="J150" s="1" t="s">
        <v>131</v>
      </c>
      <c r="K150" s="1" t="s">
        <v>47</v>
      </c>
      <c r="L150" s="1">
        <v>1</v>
      </c>
      <c r="M150" s="5">
        <v>1450000</v>
      </c>
      <c r="N150" s="3">
        <f t="shared" si="27"/>
        <v>1595000.0000000002</v>
      </c>
      <c r="O150" s="5">
        <v>1000000</v>
      </c>
      <c r="P150" s="3">
        <f t="shared" si="28"/>
        <v>1100000</v>
      </c>
      <c r="Q150" s="3">
        <f t="shared" si="23"/>
        <v>495000.00000000023</v>
      </c>
      <c r="R150" s="1" t="s">
        <v>19</v>
      </c>
      <c r="S150" s="1" t="s">
        <v>19</v>
      </c>
      <c r="T150" s="27">
        <f>IF(OR(I150="타이어",I150=""),"",C150)</f>
        <v>45995</v>
      </c>
      <c r="U150" s="1" t="str">
        <f t="shared" si="25"/>
        <v>완료</v>
      </c>
    </row>
    <row r="151" spans="2:22">
      <c r="B151" s="1">
        <f t="shared" si="26"/>
        <v>147</v>
      </c>
      <c r="C151" s="2">
        <v>46000</v>
      </c>
      <c r="D151" s="2" t="str">
        <f t="shared" si="20"/>
        <v>2025년</v>
      </c>
      <c r="E151" s="1" t="str">
        <f t="shared" si="21"/>
        <v>12월</v>
      </c>
      <c r="F151" s="1" t="str">
        <f t="shared" si="22"/>
        <v>2025년12월</v>
      </c>
      <c r="G151" s="1" t="s">
        <v>187</v>
      </c>
      <c r="H151" s="1" t="str">
        <f>IFERROR((VLOOKUP(G151,Backdata!G:H,2,0)),"")</f>
        <v>416-81-34873</v>
      </c>
      <c r="I151" s="1" t="s">
        <v>10</v>
      </c>
      <c r="J151" s="7" t="s">
        <v>35</v>
      </c>
      <c r="K151" s="1" t="s">
        <v>22</v>
      </c>
      <c r="L151" s="1">
        <v>2</v>
      </c>
      <c r="M151" s="5">
        <v>130000</v>
      </c>
      <c r="N151" s="3">
        <f t="shared" si="27"/>
        <v>286000</v>
      </c>
      <c r="O151" s="5">
        <v>125000</v>
      </c>
      <c r="P151" s="3">
        <f t="shared" si="28"/>
        <v>275000</v>
      </c>
      <c r="Q151" s="3">
        <f t="shared" si="23"/>
        <v>11000</v>
      </c>
      <c r="R151" s="1" t="s">
        <v>19</v>
      </c>
      <c r="S151" s="1" t="s">
        <v>19</v>
      </c>
      <c r="T151" s="27">
        <v>46002</v>
      </c>
      <c r="U151" s="1" t="str">
        <f t="shared" si="25"/>
        <v>완료</v>
      </c>
      <c r="V151" s="1" t="s">
        <v>18</v>
      </c>
    </row>
    <row r="152" spans="2:22">
      <c r="B152" s="1">
        <f t="shared" si="26"/>
        <v>148</v>
      </c>
      <c r="C152" s="2">
        <v>46000</v>
      </c>
      <c r="D152" s="2" t="str">
        <f t="shared" si="20"/>
        <v>2025년</v>
      </c>
      <c r="E152" s="1" t="str">
        <f t="shared" si="21"/>
        <v>12월</v>
      </c>
      <c r="F152" s="1" t="str">
        <f t="shared" si="22"/>
        <v>2025년12월</v>
      </c>
      <c r="G152" s="1" t="s">
        <v>187</v>
      </c>
      <c r="H152" s="1" t="str">
        <f>IFERROR((VLOOKUP(G152,Backdata!G:H,2,0)),"")</f>
        <v>416-81-34873</v>
      </c>
      <c r="I152" s="1" t="s">
        <v>10</v>
      </c>
      <c r="J152" s="7" t="s">
        <v>24</v>
      </c>
      <c r="L152" s="1">
        <v>2</v>
      </c>
      <c r="M152" s="5">
        <v>6000</v>
      </c>
      <c r="N152" s="3">
        <f t="shared" si="27"/>
        <v>13200.000000000002</v>
      </c>
      <c r="O152" s="5">
        <v>6000</v>
      </c>
      <c r="P152" s="3">
        <f t="shared" si="28"/>
        <v>13200.000000000002</v>
      </c>
      <c r="Q152" s="3">
        <f t="shared" si="23"/>
        <v>0</v>
      </c>
      <c r="R152" s="1" t="s">
        <v>19</v>
      </c>
      <c r="S152" s="1" t="s">
        <v>18</v>
      </c>
      <c r="T152" s="27">
        <v>46002</v>
      </c>
      <c r="U152" s="1" t="str">
        <f t="shared" si="25"/>
        <v>완료</v>
      </c>
      <c r="V152" s="1" t="s">
        <v>18</v>
      </c>
    </row>
    <row r="153" spans="2:22">
      <c r="B153" s="1">
        <f t="shared" si="26"/>
        <v>149</v>
      </c>
      <c r="C153" s="2">
        <v>46000</v>
      </c>
      <c r="D153" s="2" t="str">
        <f t="shared" si="20"/>
        <v>2025년</v>
      </c>
      <c r="E153" s="1" t="str">
        <f t="shared" si="21"/>
        <v>12월</v>
      </c>
      <c r="F153" s="1" t="str">
        <f t="shared" si="22"/>
        <v>2025년12월</v>
      </c>
      <c r="G153" s="1" t="s">
        <v>295</v>
      </c>
      <c r="H153" s="1" t="str">
        <f>IFERROR((VLOOKUP(G153,Backdata!G:H,2,0)),"")</f>
        <v>141-81-05834</v>
      </c>
      <c r="I153" s="1" t="s">
        <v>10</v>
      </c>
      <c r="J153" s="7" t="s">
        <v>12</v>
      </c>
      <c r="K153" s="1" t="s">
        <v>23</v>
      </c>
      <c r="L153" s="1">
        <v>2</v>
      </c>
      <c r="M153" s="5">
        <v>210000</v>
      </c>
      <c r="N153" s="3">
        <f t="shared" si="27"/>
        <v>462000.00000000006</v>
      </c>
      <c r="O153" s="5">
        <v>200000</v>
      </c>
      <c r="P153" s="3">
        <f t="shared" si="28"/>
        <v>440000.00000000006</v>
      </c>
      <c r="Q153" s="3">
        <f t="shared" si="23"/>
        <v>22000</v>
      </c>
      <c r="R153" s="1" t="s">
        <v>19</v>
      </c>
      <c r="T153" s="27">
        <v>46001</v>
      </c>
      <c r="U153" s="1" t="str">
        <f t="shared" si="25"/>
        <v>완료</v>
      </c>
    </row>
    <row r="154" spans="2:22">
      <c r="B154" s="1">
        <f t="shared" si="26"/>
        <v>150</v>
      </c>
      <c r="C154" s="2">
        <v>46001</v>
      </c>
      <c r="D154" s="2" t="str">
        <f t="shared" si="20"/>
        <v>2025년</v>
      </c>
      <c r="E154" s="1" t="str">
        <f t="shared" si="21"/>
        <v>12월</v>
      </c>
      <c r="F154" s="1" t="str">
        <f t="shared" si="22"/>
        <v>2025년12월</v>
      </c>
      <c r="G154" s="1" t="s">
        <v>289</v>
      </c>
      <c r="H154" s="1" t="str">
        <f>IFERROR((VLOOKUP(G154,Backdata!G:H,2,0)),"")</f>
        <v>428-86-01083</v>
      </c>
      <c r="I154" s="1" t="s">
        <v>10</v>
      </c>
      <c r="J154" s="7" t="s">
        <v>63</v>
      </c>
      <c r="K154" s="1" t="s">
        <v>22</v>
      </c>
      <c r="L154" s="1">
        <v>2</v>
      </c>
      <c r="M154" s="5">
        <v>200000</v>
      </c>
      <c r="N154" s="3">
        <f t="shared" si="27"/>
        <v>440000.00000000006</v>
      </c>
      <c r="O154" s="5">
        <v>190000</v>
      </c>
      <c r="P154" s="3">
        <f t="shared" si="28"/>
        <v>418000.00000000006</v>
      </c>
      <c r="Q154" s="3">
        <f t="shared" si="23"/>
        <v>22000</v>
      </c>
      <c r="R154" s="1" t="s">
        <v>19</v>
      </c>
      <c r="T154" s="27">
        <v>46001</v>
      </c>
      <c r="U154" s="1" t="str">
        <f t="shared" si="25"/>
        <v>완료</v>
      </c>
    </row>
    <row r="155" spans="2:22">
      <c r="B155" s="1">
        <f t="shared" si="26"/>
        <v>151</v>
      </c>
      <c r="C155" s="2">
        <v>46002</v>
      </c>
      <c r="D155" s="2" t="str">
        <f t="shared" si="20"/>
        <v>2025년</v>
      </c>
      <c r="E155" s="1" t="str">
        <f t="shared" si="21"/>
        <v>12월</v>
      </c>
      <c r="F155" s="1" t="str">
        <f t="shared" si="22"/>
        <v>2025년12월</v>
      </c>
      <c r="G155" s="1" t="s">
        <v>278</v>
      </c>
      <c r="H155" s="1" t="str">
        <f>IFERROR((VLOOKUP(G155,Backdata!G:H,2,0)),"")</f>
        <v>897-86-02385</v>
      </c>
      <c r="I155" s="1" t="s">
        <v>10</v>
      </c>
      <c r="J155" s="7" t="s">
        <v>12</v>
      </c>
      <c r="K155" s="1" t="s">
        <v>25</v>
      </c>
      <c r="L155" s="1">
        <v>2</v>
      </c>
      <c r="M155" s="5">
        <v>180000</v>
      </c>
      <c r="N155" s="3">
        <f t="shared" si="27"/>
        <v>396000.00000000006</v>
      </c>
      <c r="O155" s="5">
        <v>150000</v>
      </c>
      <c r="P155" s="3">
        <f t="shared" si="28"/>
        <v>330000</v>
      </c>
      <c r="Q155" s="3">
        <f t="shared" si="23"/>
        <v>66000.000000000058</v>
      </c>
      <c r="R155" s="1" t="s">
        <v>19</v>
      </c>
      <c r="S155" s="1" t="s">
        <v>19</v>
      </c>
      <c r="T155" s="27">
        <v>46006</v>
      </c>
      <c r="U155" s="1" t="str">
        <f t="shared" si="25"/>
        <v>완료</v>
      </c>
      <c r="V155" s="1" t="s">
        <v>18</v>
      </c>
    </row>
    <row r="156" spans="2:22">
      <c r="B156" s="1">
        <f t="shared" si="26"/>
        <v>152</v>
      </c>
      <c r="C156" s="2">
        <v>46002</v>
      </c>
      <c r="D156" s="2" t="str">
        <f t="shared" si="20"/>
        <v>2025년</v>
      </c>
      <c r="E156" s="1" t="str">
        <f t="shared" si="21"/>
        <v>12월</v>
      </c>
      <c r="F156" s="1" t="str">
        <f t="shared" si="22"/>
        <v>2025년12월</v>
      </c>
      <c r="G156" s="1" t="s">
        <v>278</v>
      </c>
      <c r="H156" s="1" t="str">
        <f>IFERROR((VLOOKUP(G156,Backdata!G:H,2,0)),"")</f>
        <v>897-86-02385</v>
      </c>
      <c r="I156" s="1" t="s">
        <v>10</v>
      </c>
      <c r="J156" s="7" t="s">
        <v>12</v>
      </c>
      <c r="K156" s="1" t="s">
        <v>26</v>
      </c>
      <c r="L156" s="1">
        <v>2</v>
      </c>
      <c r="M156" s="5">
        <v>230000</v>
      </c>
      <c r="N156" s="3">
        <f t="shared" si="27"/>
        <v>506000.00000000006</v>
      </c>
      <c r="O156" s="5">
        <v>200000</v>
      </c>
      <c r="P156" s="3">
        <f t="shared" si="28"/>
        <v>440000.00000000006</v>
      </c>
      <c r="Q156" s="3">
        <f t="shared" si="23"/>
        <v>66000</v>
      </c>
      <c r="R156" s="1" t="s">
        <v>19</v>
      </c>
      <c r="S156" s="1" t="s">
        <v>19</v>
      </c>
      <c r="T156" s="27">
        <v>46006</v>
      </c>
      <c r="U156" s="1" t="str">
        <f t="shared" si="25"/>
        <v>완료</v>
      </c>
      <c r="V156" s="1" t="s">
        <v>18</v>
      </c>
    </row>
    <row r="157" spans="2:22">
      <c r="B157" s="1">
        <f t="shared" si="26"/>
        <v>153</v>
      </c>
      <c r="C157" s="2">
        <v>46002</v>
      </c>
      <c r="D157" s="2" t="str">
        <f t="shared" si="20"/>
        <v>2025년</v>
      </c>
      <c r="E157" s="1" t="str">
        <f t="shared" si="21"/>
        <v>12월</v>
      </c>
      <c r="F157" s="1" t="str">
        <f t="shared" si="22"/>
        <v>2025년12월</v>
      </c>
      <c r="G157" s="1" t="s">
        <v>278</v>
      </c>
      <c r="H157" s="1" t="str">
        <f>IFERROR((VLOOKUP(G157,Backdata!G:H,2,0)),"")</f>
        <v>897-86-02385</v>
      </c>
      <c r="I157" s="1" t="s">
        <v>10</v>
      </c>
      <c r="J157" s="7" t="s">
        <v>12</v>
      </c>
      <c r="K157" s="1" t="s">
        <v>27</v>
      </c>
      <c r="L157" s="1">
        <v>2</v>
      </c>
      <c r="M157" s="5">
        <v>250000</v>
      </c>
      <c r="N157" s="3">
        <f t="shared" si="27"/>
        <v>550000</v>
      </c>
      <c r="O157" s="5">
        <v>220000</v>
      </c>
      <c r="P157" s="3">
        <f t="shared" si="28"/>
        <v>484000.00000000006</v>
      </c>
      <c r="Q157" s="3">
        <f t="shared" si="23"/>
        <v>65999.999999999942</v>
      </c>
      <c r="R157" s="1" t="s">
        <v>19</v>
      </c>
      <c r="S157" s="1" t="s">
        <v>19</v>
      </c>
      <c r="T157" s="27">
        <v>46006</v>
      </c>
      <c r="U157" s="1" t="str">
        <f t="shared" si="25"/>
        <v>완료</v>
      </c>
      <c r="V157" s="1" t="s">
        <v>18</v>
      </c>
    </row>
    <row r="158" spans="2:22">
      <c r="B158" s="1">
        <f t="shared" si="26"/>
        <v>154</v>
      </c>
      <c r="C158" s="2">
        <v>46002</v>
      </c>
      <c r="D158" s="2" t="str">
        <f t="shared" si="20"/>
        <v>2025년</v>
      </c>
      <c r="E158" s="1" t="str">
        <f t="shared" si="21"/>
        <v>12월</v>
      </c>
      <c r="F158" s="1" t="str">
        <f t="shared" si="22"/>
        <v>2025년12월</v>
      </c>
      <c r="G158" s="1" t="s">
        <v>49</v>
      </c>
      <c r="H158" s="1" t="str">
        <f>IFERROR((VLOOKUP(G158,Backdata!G:H,2,0)),"")</f>
        <v>134-12-98663</v>
      </c>
      <c r="I158" s="1" t="s">
        <v>9</v>
      </c>
      <c r="J158" s="7" t="s">
        <v>63</v>
      </c>
      <c r="K158" s="1" t="s">
        <v>51</v>
      </c>
      <c r="L158" s="1">
        <v>4</v>
      </c>
      <c r="M158" s="5">
        <v>210000</v>
      </c>
      <c r="N158" s="3">
        <f t="shared" si="27"/>
        <v>924000.00000000012</v>
      </c>
      <c r="O158" s="5">
        <v>200000</v>
      </c>
      <c r="P158" s="3">
        <f t="shared" si="28"/>
        <v>880000.00000000012</v>
      </c>
      <c r="Q158" s="3">
        <f t="shared" si="23"/>
        <v>44000</v>
      </c>
      <c r="R158" s="1" t="s">
        <v>19</v>
      </c>
      <c r="T158" s="27" t="str">
        <f>IF(OR(I158="타이어",I158=""),"",C158)</f>
        <v/>
      </c>
      <c r="U158" s="1" t="str">
        <f t="shared" si="25"/>
        <v/>
      </c>
    </row>
    <row r="159" spans="2:22">
      <c r="B159" s="1">
        <f t="shared" si="26"/>
        <v>155</v>
      </c>
      <c r="C159" s="6">
        <v>46006</v>
      </c>
      <c r="D159" s="6" t="str">
        <f t="shared" si="20"/>
        <v>2025년</v>
      </c>
      <c r="E159" s="7" t="str">
        <f t="shared" si="21"/>
        <v>12월</v>
      </c>
      <c r="F159" s="7" t="str">
        <f t="shared" si="22"/>
        <v>2025년12월</v>
      </c>
      <c r="G159" s="7" t="s">
        <v>289</v>
      </c>
      <c r="H159" s="1" t="str">
        <f>IFERROR((VLOOKUP(G159,Backdata!G:H,2,0)),"")</f>
        <v>428-86-01083</v>
      </c>
      <c r="I159" s="7" t="s">
        <v>9</v>
      </c>
      <c r="J159" s="7" t="s">
        <v>60</v>
      </c>
      <c r="K159" s="7" t="s">
        <v>23</v>
      </c>
      <c r="L159" s="7">
        <v>2</v>
      </c>
      <c r="M159" s="5">
        <v>175000</v>
      </c>
      <c r="N159" s="3">
        <f t="shared" si="27"/>
        <v>385000.00000000006</v>
      </c>
      <c r="O159" s="5">
        <v>135000</v>
      </c>
      <c r="P159" s="3">
        <f t="shared" si="28"/>
        <v>297000</v>
      </c>
      <c r="Q159" s="3">
        <f t="shared" si="23"/>
        <v>88000.000000000058</v>
      </c>
      <c r="R159" s="1" t="s">
        <v>19</v>
      </c>
      <c r="T159" s="27">
        <v>46007</v>
      </c>
      <c r="U159" s="1" t="str">
        <f t="shared" si="25"/>
        <v>완료</v>
      </c>
    </row>
    <row r="160" spans="2:22">
      <c r="B160" s="1">
        <f t="shared" si="26"/>
        <v>156</v>
      </c>
      <c r="C160" s="6">
        <v>46006</v>
      </c>
      <c r="D160" s="6" t="str">
        <f t="shared" si="20"/>
        <v>2025년</v>
      </c>
      <c r="E160" s="7" t="str">
        <f t="shared" si="21"/>
        <v>12월</v>
      </c>
      <c r="F160" s="7" t="str">
        <f t="shared" si="22"/>
        <v>2025년12월</v>
      </c>
      <c r="G160" s="7" t="s">
        <v>289</v>
      </c>
      <c r="H160" s="1" t="str">
        <f>IFERROR((VLOOKUP(G160,Backdata!G:H,2,0)),"")</f>
        <v>428-86-01083</v>
      </c>
      <c r="I160" s="7" t="s">
        <v>9</v>
      </c>
      <c r="J160" s="7" t="s">
        <v>61</v>
      </c>
      <c r="K160" s="7" t="s">
        <v>23</v>
      </c>
      <c r="L160" s="7">
        <v>-2</v>
      </c>
      <c r="M160" s="5">
        <v>110000</v>
      </c>
      <c r="N160" s="3">
        <f t="shared" si="27"/>
        <v>-242000.00000000003</v>
      </c>
      <c r="O160" s="5">
        <v>110000</v>
      </c>
      <c r="P160" s="3">
        <f t="shared" si="28"/>
        <v>-242000.00000000003</v>
      </c>
      <c r="Q160" s="3">
        <f t="shared" si="23"/>
        <v>0</v>
      </c>
      <c r="R160" s="1" t="s">
        <v>19</v>
      </c>
      <c r="T160" s="27">
        <v>46007</v>
      </c>
      <c r="U160" s="1" t="str">
        <f t="shared" si="25"/>
        <v>완료</v>
      </c>
    </row>
    <row r="161" spans="2:21">
      <c r="B161" s="1">
        <f t="shared" si="26"/>
        <v>157</v>
      </c>
      <c r="C161" s="2">
        <v>46006</v>
      </c>
      <c r="D161" s="2" t="str">
        <f t="shared" si="20"/>
        <v>2025년</v>
      </c>
      <c r="E161" s="1" t="str">
        <f t="shared" si="21"/>
        <v>12월</v>
      </c>
      <c r="F161" s="1" t="str">
        <f t="shared" si="22"/>
        <v>2025년12월</v>
      </c>
      <c r="G161" s="1" t="s">
        <v>289</v>
      </c>
      <c r="H161" s="1" t="str">
        <f>IFERROR((VLOOKUP(G161,Backdata!G:H,2,0)),"")</f>
        <v>428-86-01083</v>
      </c>
      <c r="I161" s="1" t="s">
        <v>9</v>
      </c>
      <c r="J161" s="1" t="s">
        <v>99</v>
      </c>
      <c r="K161" s="1" t="s">
        <v>50</v>
      </c>
      <c r="L161" s="1">
        <v>6</v>
      </c>
      <c r="M161" s="5">
        <v>270000</v>
      </c>
      <c r="N161" s="3">
        <f t="shared" si="27"/>
        <v>1782000.0000000002</v>
      </c>
      <c r="O161" s="5">
        <v>240000</v>
      </c>
      <c r="P161" s="3">
        <f t="shared" si="28"/>
        <v>1584000.0000000002</v>
      </c>
      <c r="Q161" s="3">
        <f t="shared" si="23"/>
        <v>198000</v>
      </c>
      <c r="R161" s="1" t="s">
        <v>19</v>
      </c>
      <c r="T161" s="27">
        <v>46007</v>
      </c>
      <c r="U161" s="1" t="str">
        <f t="shared" si="25"/>
        <v>완료</v>
      </c>
    </row>
    <row r="162" spans="2:21">
      <c r="B162" s="1">
        <f t="shared" si="26"/>
        <v>158</v>
      </c>
      <c r="C162" s="2">
        <v>46006</v>
      </c>
      <c r="D162" s="2" t="str">
        <f t="shared" si="20"/>
        <v>2025년</v>
      </c>
      <c r="E162" s="1" t="str">
        <f t="shared" si="21"/>
        <v>12월</v>
      </c>
      <c r="F162" s="1" t="str">
        <f t="shared" si="22"/>
        <v>2025년12월</v>
      </c>
      <c r="G162" s="1" t="s">
        <v>289</v>
      </c>
      <c r="H162" s="1" t="str">
        <f>IFERROR((VLOOKUP(G162,Backdata!G:H,2,0)),"")</f>
        <v>428-86-01083</v>
      </c>
      <c r="I162" s="1" t="s">
        <v>9</v>
      </c>
      <c r="J162" s="1" t="s">
        <v>54</v>
      </c>
      <c r="K162" s="1" t="s">
        <v>50</v>
      </c>
      <c r="L162" s="1">
        <v>6</v>
      </c>
      <c r="M162" s="5">
        <v>140000</v>
      </c>
      <c r="N162" s="3">
        <f t="shared" si="27"/>
        <v>924000.00000000012</v>
      </c>
      <c r="O162" s="5">
        <v>120000</v>
      </c>
      <c r="P162" s="3">
        <f t="shared" si="28"/>
        <v>792000.00000000012</v>
      </c>
      <c r="Q162" s="3">
        <f t="shared" si="23"/>
        <v>132000</v>
      </c>
      <c r="R162" s="1" t="s">
        <v>19</v>
      </c>
      <c r="T162" s="27">
        <v>46007</v>
      </c>
      <c r="U162" s="1" t="str">
        <f t="shared" si="25"/>
        <v>완료</v>
      </c>
    </row>
    <row r="163" spans="2:21">
      <c r="B163" s="1">
        <f t="shared" si="26"/>
        <v>159</v>
      </c>
      <c r="C163" s="2">
        <v>46006</v>
      </c>
      <c r="D163" s="2" t="str">
        <f t="shared" si="20"/>
        <v>2025년</v>
      </c>
      <c r="E163" s="1" t="str">
        <f t="shared" si="21"/>
        <v>12월</v>
      </c>
      <c r="F163" s="1" t="str">
        <f t="shared" si="22"/>
        <v>2025년12월</v>
      </c>
      <c r="G163" s="1" t="s">
        <v>289</v>
      </c>
      <c r="H163" s="1" t="str">
        <f>IFERROR((VLOOKUP(G163,Backdata!G:H,2,0)),"")</f>
        <v>428-86-01083</v>
      </c>
      <c r="I163" s="1" t="s">
        <v>9</v>
      </c>
      <c r="J163" s="1" t="s">
        <v>61</v>
      </c>
      <c r="K163" s="1" t="s">
        <v>50</v>
      </c>
      <c r="L163" s="1">
        <v>-6</v>
      </c>
      <c r="M163" s="5">
        <v>240000</v>
      </c>
      <c r="N163" s="3">
        <f t="shared" si="27"/>
        <v>-1584000.0000000002</v>
      </c>
      <c r="O163" s="5">
        <v>240000</v>
      </c>
      <c r="P163" s="3">
        <f t="shared" si="28"/>
        <v>-1584000.0000000002</v>
      </c>
      <c r="Q163" s="3">
        <f t="shared" si="23"/>
        <v>0</v>
      </c>
      <c r="R163" s="1" t="s">
        <v>19</v>
      </c>
      <c r="T163" s="27">
        <v>46007</v>
      </c>
      <c r="U163" s="1" t="str">
        <f t="shared" si="25"/>
        <v>완료</v>
      </c>
    </row>
    <row r="164" spans="2:21">
      <c r="B164" s="1">
        <f t="shared" si="26"/>
        <v>160</v>
      </c>
      <c r="C164" s="2">
        <v>46006</v>
      </c>
      <c r="D164" s="2" t="str">
        <f t="shared" si="20"/>
        <v>2025년</v>
      </c>
      <c r="E164" s="1" t="str">
        <f t="shared" si="21"/>
        <v>12월</v>
      </c>
      <c r="F164" s="1" t="str">
        <f t="shared" si="22"/>
        <v>2025년12월</v>
      </c>
      <c r="G164" s="1" t="s">
        <v>289</v>
      </c>
      <c r="H164" s="1" t="str">
        <f>IFERROR((VLOOKUP(G164,Backdata!G:H,2,0)),"")</f>
        <v>428-86-01083</v>
      </c>
      <c r="I164" s="1" t="s">
        <v>9</v>
      </c>
      <c r="J164" s="1" t="s">
        <v>54</v>
      </c>
      <c r="K164" s="1" t="s">
        <v>50</v>
      </c>
      <c r="L164" s="1">
        <v>-6</v>
      </c>
      <c r="M164" s="5">
        <v>100000</v>
      </c>
      <c r="N164" s="3">
        <f t="shared" si="27"/>
        <v>-660000</v>
      </c>
      <c r="O164" s="5">
        <v>100000</v>
      </c>
      <c r="P164" s="3">
        <f t="shared" si="28"/>
        <v>-660000</v>
      </c>
      <c r="Q164" s="3">
        <f t="shared" si="23"/>
        <v>0</v>
      </c>
      <c r="R164" s="1" t="s">
        <v>19</v>
      </c>
      <c r="T164" s="27">
        <v>46007</v>
      </c>
      <c r="U164" s="1" t="str">
        <f t="shared" si="25"/>
        <v>완료</v>
      </c>
    </row>
    <row r="165" spans="2:21">
      <c r="B165" s="1">
        <f t="shared" si="26"/>
        <v>161</v>
      </c>
      <c r="C165" s="2">
        <v>46006</v>
      </c>
      <c r="D165" s="2" t="str">
        <f t="shared" si="20"/>
        <v>2025년</v>
      </c>
      <c r="E165" s="1" t="str">
        <f t="shared" si="21"/>
        <v>12월</v>
      </c>
      <c r="F165" s="1" t="str">
        <f t="shared" si="22"/>
        <v>2025년12월</v>
      </c>
      <c r="G165" s="1" t="s">
        <v>49</v>
      </c>
      <c r="H165" s="1" t="str">
        <f>IFERROR((VLOOKUP(G165,Backdata!G:H,2,0)),"")</f>
        <v>134-12-98663</v>
      </c>
      <c r="I165" s="1" t="s">
        <v>10</v>
      </c>
      <c r="J165" s="7" t="s">
        <v>66</v>
      </c>
      <c r="K165" s="1" t="s">
        <v>55</v>
      </c>
      <c r="L165" s="1">
        <v>2</v>
      </c>
      <c r="M165" s="5">
        <v>600000</v>
      </c>
      <c r="N165" s="3">
        <f t="shared" si="27"/>
        <v>1320000</v>
      </c>
      <c r="O165" s="5">
        <v>500000</v>
      </c>
      <c r="P165" s="3">
        <f t="shared" si="28"/>
        <v>1100000</v>
      </c>
      <c r="Q165" s="3">
        <f t="shared" si="23"/>
        <v>220000</v>
      </c>
      <c r="R165" s="1" t="s">
        <v>19</v>
      </c>
      <c r="T165" s="27">
        <v>46006</v>
      </c>
      <c r="U165" s="1" t="str">
        <f t="shared" si="25"/>
        <v>완료</v>
      </c>
    </row>
    <row r="166" spans="2:21">
      <c r="B166" s="1">
        <f t="shared" si="26"/>
        <v>162</v>
      </c>
      <c r="C166" s="2">
        <v>46006</v>
      </c>
      <c r="D166" s="2" t="str">
        <f t="shared" si="20"/>
        <v>2025년</v>
      </c>
      <c r="E166" s="1" t="str">
        <f t="shared" si="21"/>
        <v>12월</v>
      </c>
      <c r="F166" s="1" t="str">
        <f t="shared" si="22"/>
        <v>2025년12월</v>
      </c>
      <c r="G166" s="1" t="s">
        <v>49</v>
      </c>
      <c r="H166" s="1" t="str">
        <f>IFERROR((VLOOKUP(G166,Backdata!G:H,2,0)),"")</f>
        <v>134-12-98663</v>
      </c>
      <c r="I166" s="1" t="s">
        <v>10</v>
      </c>
      <c r="J166" s="7" t="s">
        <v>12</v>
      </c>
      <c r="K166" s="1" t="s">
        <v>51</v>
      </c>
      <c r="L166" s="1">
        <v>2</v>
      </c>
      <c r="M166" s="5">
        <v>220000</v>
      </c>
      <c r="N166" s="3">
        <f t="shared" si="27"/>
        <v>484000.00000000006</v>
      </c>
      <c r="O166" s="5">
        <v>200000</v>
      </c>
      <c r="P166" s="3">
        <f t="shared" si="28"/>
        <v>440000.00000000006</v>
      </c>
      <c r="Q166" s="3">
        <f t="shared" si="23"/>
        <v>44000</v>
      </c>
      <c r="R166" s="1" t="s">
        <v>19</v>
      </c>
      <c r="T166" s="27">
        <v>46006</v>
      </c>
      <c r="U166" s="1" t="str">
        <f t="shared" si="25"/>
        <v>완료</v>
      </c>
    </row>
    <row r="167" spans="2:21">
      <c r="B167" s="1">
        <f t="shared" si="26"/>
        <v>163</v>
      </c>
      <c r="C167" s="2">
        <v>46006</v>
      </c>
      <c r="D167" s="2" t="str">
        <f t="shared" si="20"/>
        <v>2025년</v>
      </c>
      <c r="E167" s="1" t="str">
        <f t="shared" si="21"/>
        <v>12월</v>
      </c>
      <c r="F167" s="1" t="str">
        <f t="shared" si="22"/>
        <v>2025년12월</v>
      </c>
      <c r="G167" s="1" t="s">
        <v>49</v>
      </c>
      <c r="H167" s="1" t="str">
        <f>IFERROR((VLOOKUP(G167,Backdata!G:H,2,0)),"")</f>
        <v>134-12-98663</v>
      </c>
      <c r="I167" s="1" t="s">
        <v>10</v>
      </c>
      <c r="J167" s="7" t="s">
        <v>104</v>
      </c>
      <c r="L167" s="1">
        <v>4</v>
      </c>
      <c r="M167" s="5">
        <v>100000</v>
      </c>
      <c r="N167" s="3">
        <f t="shared" si="27"/>
        <v>440000.00000000006</v>
      </c>
      <c r="O167" s="5">
        <v>100000</v>
      </c>
      <c r="P167" s="3">
        <f t="shared" si="28"/>
        <v>440000.00000000006</v>
      </c>
      <c r="Q167" s="3">
        <f t="shared" si="23"/>
        <v>0</v>
      </c>
      <c r="R167" s="1" t="s">
        <v>19</v>
      </c>
      <c r="T167" s="27">
        <v>46006</v>
      </c>
      <c r="U167" s="1" t="str">
        <f t="shared" si="25"/>
        <v>완료</v>
      </c>
    </row>
    <row r="168" spans="2:21">
      <c r="B168" s="1">
        <f t="shared" si="26"/>
        <v>164</v>
      </c>
      <c r="C168" s="2">
        <v>46006</v>
      </c>
      <c r="D168" s="2" t="str">
        <f t="shared" si="20"/>
        <v>2025년</v>
      </c>
      <c r="E168" s="1" t="str">
        <f t="shared" si="21"/>
        <v>12월</v>
      </c>
      <c r="F168" s="1" t="str">
        <f t="shared" si="22"/>
        <v>2025년12월</v>
      </c>
      <c r="G168" s="1" t="s">
        <v>49</v>
      </c>
      <c r="H168" s="1" t="str">
        <f>IFERROR((VLOOKUP(G168,Backdata!G:H,2,0)),"")</f>
        <v>134-12-98663</v>
      </c>
      <c r="I168" s="1" t="s">
        <v>9</v>
      </c>
      <c r="J168" s="7" t="s">
        <v>63</v>
      </c>
      <c r="K168" s="1" t="s">
        <v>322</v>
      </c>
      <c r="L168" s="1">
        <v>2</v>
      </c>
      <c r="M168" s="5">
        <v>165000</v>
      </c>
      <c r="N168" s="3">
        <f t="shared" si="27"/>
        <v>363000.00000000006</v>
      </c>
      <c r="O168" s="5">
        <v>150000</v>
      </c>
      <c r="P168" s="3">
        <f t="shared" si="28"/>
        <v>330000</v>
      </c>
      <c r="Q168" s="3">
        <f t="shared" si="23"/>
        <v>33000.000000000058</v>
      </c>
      <c r="R168" s="1" t="s">
        <v>19</v>
      </c>
      <c r="T168" s="27" t="str">
        <f>IF(OR(I168="타이어",I168=""),"",C168)</f>
        <v/>
      </c>
      <c r="U168" s="1" t="str">
        <f t="shared" si="25"/>
        <v/>
      </c>
    </row>
    <row r="169" spans="2:21">
      <c r="B169" s="1">
        <f t="shared" si="26"/>
        <v>165</v>
      </c>
      <c r="C169" s="2">
        <v>46006</v>
      </c>
      <c r="D169" s="2" t="str">
        <f t="shared" si="20"/>
        <v>2025년</v>
      </c>
      <c r="E169" s="1" t="str">
        <f t="shared" si="21"/>
        <v>12월</v>
      </c>
      <c r="F169" s="1" t="str">
        <f t="shared" si="22"/>
        <v>2025년12월</v>
      </c>
      <c r="G169" s="1" t="s">
        <v>49</v>
      </c>
      <c r="H169" s="1" t="str">
        <f>IFERROR((VLOOKUP(G169,Backdata!G:H,2,0)),"")</f>
        <v>134-12-98663</v>
      </c>
      <c r="I169" s="1" t="s">
        <v>9</v>
      </c>
      <c r="J169" s="7" t="s">
        <v>63</v>
      </c>
      <c r="K169" s="1" t="s">
        <v>65</v>
      </c>
      <c r="L169" s="1">
        <v>2</v>
      </c>
      <c r="M169" s="5">
        <v>130000</v>
      </c>
      <c r="N169" s="3">
        <f t="shared" si="27"/>
        <v>286000</v>
      </c>
      <c r="O169" s="5">
        <v>120000</v>
      </c>
      <c r="P169" s="3">
        <f t="shared" si="28"/>
        <v>264000</v>
      </c>
      <c r="Q169" s="3">
        <f t="shared" si="23"/>
        <v>22000</v>
      </c>
      <c r="R169" s="1" t="s">
        <v>19</v>
      </c>
      <c r="T169" s="27" t="str">
        <f>IF(OR(I169="타이어",I169=""),"",C169)</f>
        <v/>
      </c>
      <c r="U169" s="1" t="str">
        <f t="shared" si="25"/>
        <v/>
      </c>
    </row>
    <row r="170" spans="2:21">
      <c r="B170" s="1">
        <f t="shared" si="26"/>
        <v>166</v>
      </c>
      <c r="C170" s="2">
        <v>46006</v>
      </c>
      <c r="D170" s="2" t="str">
        <f t="shared" si="20"/>
        <v>2025년</v>
      </c>
      <c r="E170" s="1" t="str">
        <f t="shared" si="21"/>
        <v>12월</v>
      </c>
      <c r="F170" s="1" t="str">
        <f t="shared" si="22"/>
        <v>2025년12월</v>
      </c>
      <c r="G170" s="1" t="s">
        <v>49</v>
      </c>
      <c r="H170" s="1" t="str">
        <f>IFERROR((VLOOKUP(G170,Backdata!G:H,2,0)),"")</f>
        <v>134-12-98663</v>
      </c>
      <c r="I170" s="1" t="s">
        <v>9</v>
      </c>
      <c r="J170" s="7" t="s">
        <v>63</v>
      </c>
      <c r="K170" s="1" t="s">
        <v>50</v>
      </c>
      <c r="L170" s="1">
        <v>4</v>
      </c>
      <c r="M170" s="5">
        <v>410000</v>
      </c>
      <c r="N170" s="3">
        <f t="shared" si="27"/>
        <v>1804000.0000000002</v>
      </c>
      <c r="O170" s="5">
        <v>390000</v>
      </c>
      <c r="P170" s="3">
        <f t="shared" si="28"/>
        <v>1716000.0000000002</v>
      </c>
      <c r="Q170" s="3">
        <f t="shared" si="23"/>
        <v>88000</v>
      </c>
      <c r="R170" s="1" t="s">
        <v>19</v>
      </c>
      <c r="T170" s="27" t="str">
        <f>IF(OR(I170="타이어",I170=""),"",C170)</f>
        <v/>
      </c>
      <c r="U170" s="1" t="str">
        <f t="shared" si="25"/>
        <v/>
      </c>
    </row>
    <row r="171" spans="2:21">
      <c r="B171" s="1">
        <f t="shared" si="26"/>
        <v>167</v>
      </c>
      <c r="C171" s="2">
        <v>46006</v>
      </c>
      <c r="D171" s="2" t="str">
        <f t="shared" si="20"/>
        <v>2025년</v>
      </c>
      <c r="E171" s="1" t="str">
        <f t="shared" si="21"/>
        <v>12월</v>
      </c>
      <c r="F171" s="1" t="str">
        <f t="shared" si="22"/>
        <v>2025년12월</v>
      </c>
      <c r="G171" s="1" t="s">
        <v>49</v>
      </c>
      <c r="H171" s="1" t="str">
        <f>IFERROR((VLOOKUP(G171,Backdata!G:H,2,0)),"")</f>
        <v>134-12-98663</v>
      </c>
      <c r="I171" s="1" t="s">
        <v>9</v>
      </c>
      <c r="J171" s="7" t="s">
        <v>63</v>
      </c>
      <c r="K171" s="1" t="s">
        <v>67</v>
      </c>
      <c r="L171" s="1">
        <v>4</v>
      </c>
      <c r="M171" s="5">
        <v>330000</v>
      </c>
      <c r="N171" s="3">
        <f t="shared" si="27"/>
        <v>1452000.0000000002</v>
      </c>
      <c r="O171" s="5">
        <v>310000</v>
      </c>
      <c r="P171" s="3">
        <f t="shared" si="28"/>
        <v>1364000</v>
      </c>
      <c r="Q171" s="3">
        <f t="shared" si="23"/>
        <v>88000.000000000233</v>
      </c>
      <c r="R171" s="1" t="s">
        <v>19</v>
      </c>
      <c r="T171" s="27" t="str">
        <f>IF(OR(I171="타이어",I171=""),"",C171)</f>
        <v/>
      </c>
      <c r="U171" s="1" t="str">
        <f t="shared" si="25"/>
        <v/>
      </c>
    </row>
    <row r="172" spans="2:21">
      <c r="B172" s="1">
        <f t="shared" si="26"/>
        <v>168</v>
      </c>
      <c r="C172" s="2">
        <v>46006</v>
      </c>
      <c r="D172" s="2" t="str">
        <f t="shared" si="20"/>
        <v>2025년</v>
      </c>
      <c r="E172" s="1" t="str">
        <f t="shared" si="21"/>
        <v>12월</v>
      </c>
      <c r="F172" s="1" t="str">
        <f t="shared" si="22"/>
        <v>2025년12월</v>
      </c>
      <c r="G172" s="1" t="s">
        <v>49</v>
      </c>
      <c r="H172" s="1" t="str">
        <f>IFERROR((VLOOKUP(G172,Backdata!G:H,2,0)),"")</f>
        <v>134-12-98663</v>
      </c>
      <c r="I172" s="1" t="s">
        <v>9</v>
      </c>
      <c r="J172" s="7" t="s">
        <v>104</v>
      </c>
      <c r="L172" s="1">
        <v>1</v>
      </c>
      <c r="M172" s="5">
        <v>180000</v>
      </c>
      <c r="N172" s="3">
        <f t="shared" si="27"/>
        <v>198000.00000000003</v>
      </c>
      <c r="O172" s="5">
        <v>180000</v>
      </c>
      <c r="P172" s="3">
        <f t="shared" si="28"/>
        <v>198000.00000000003</v>
      </c>
      <c r="Q172" s="3">
        <f t="shared" si="23"/>
        <v>0</v>
      </c>
      <c r="R172" s="1" t="s">
        <v>19</v>
      </c>
      <c r="T172" s="27" t="str">
        <f>IF(OR(I172="타이어",I172=""),"",C172)</f>
        <v/>
      </c>
      <c r="U172" s="1" t="str">
        <f t="shared" si="25"/>
        <v/>
      </c>
    </row>
    <row r="173" spans="2:21">
      <c r="B173" s="1">
        <f t="shared" si="26"/>
        <v>169</v>
      </c>
      <c r="C173" s="2">
        <v>46007</v>
      </c>
      <c r="D173" s="2" t="str">
        <f t="shared" si="20"/>
        <v>2025년</v>
      </c>
      <c r="E173" s="1" t="str">
        <f t="shared" si="21"/>
        <v>12월</v>
      </c>
      <c r="F173" s="1" t="str">
        <f t="shared" si="22"/>
        <v>2025년12월</v>
      </c>
      <c r="G173" s="1" t="s">
        <v>298</v>
      </c>
      <c r="H173" s="1" t="str">
        <f>IFERROR((VLOOKUP(G173,Backdata!G:H,2,0)),"")</f>
        <v>312-86-18125</v>
      </c>
      <c r="I173" s="1" t="s">
        <v>10</v>
      </c>
      <c r="J173" s="7" t="s">
        <v>12</v>
      </c>
      <c r="K173" s="1" t="s">
        <v>51</v>
      </c>
      <c r="L173" s="1">
        <v>2</v>
      </c>
      <c r="M173" s="5">
        <v>168000</v>
      </c>
      <c r="N173" s="3">
        <f t="shared" si="27"/>
        <v>369600.00000000006</v>
      </c>
      <c r="O173" s="5">
        <v>160000</v>
      </c>
      <c r="P173" s="3">
        <f t="shared" si="28"/>
        <v>352000</v>
      </c>
      <c r="Q173" s="3">
        <f t="shared" si="23"/>
        <v>17600.000000000058</v>
      </c>
      <c r="R173" s="1" t="s">
        <v>19</v>
      </c>
      <c r="T173" s="27">
        <v>46006</v>
      </c>
      <c r="U173" s="1" t="str">
        <f t="shared" si="25"/>
        <v>완료</v>
      </c>
    </row>
    <row r="174" spans="2:21">
      <c r="B174" s="1">
        <f t="shared" si="26"/>
        <v>170</v>
      </c>
      <c r="C174" s="2">
        <v>46007</v>
      </c>
      <c r="D174" s="2" t="str">
        <f t="shared" si="20"/>
        <v>2025년</v>
      </c>
      <c r="E174" s="1" t="str">
        <f t="shared" si="21"/>
        <v>12월</v>
      </c>
      <c r="F174" s="1" t="str">
        <f t="shared" si="22"/>
        <v>2025년12월</v>
      </c>
      <c r="G174" s="1" t="s">
        <v>298</v>
      </c>
      <c r="H174" s="1" t="str">
        <f>IFERROR((VLOOKUP(G174,Backdata!G:H,2,0)),"")</f>
        <v>312-86-18125</v>
      </c>
      <c r="I174" s="1" t="s">
        <v>10</v>
      </c>
      <c r="J174" s="7" t="s">
        <v>12</v>
      </c>
      <c r="K174" s="1" t="s">
        <v>48</v>
      </c>
      <c r="L174" s="1">
        <v>2</v>
      </c>
      <c r="M174" s="5">
        <v>87000</v>
      </c>
      <c r="N174" s="3">
        <f t="shared" si="27"/>
        <v>191400.00000000003</v>
      </c>
      <c r="O174" s="5">
        <v>100000</v>
      </c>
      <c r="P174" s="3">
        <f t="shared" si="28"/>
        <v>220000.00000000003</v>
      </c>
      <c r="Q174" s="3">
        <f t="shared" si="23"/>
        <v>-28600</v>
      </c>
      <c r="R174" s="1" t="s">
        <v>19</v>
      </c>
      <c r="T174" s="27">
        <v>46006</v>
      </c>
      <c r="U174" s="1" t="str">
        <f t="shared" si="25"/>
        <v>완료</v>
      </c>
    </row>
    <row r="175" spans="2:21">
      <c r="B175" s="1">
        <f t="shared" si="26"/>
        <v>171</v>
      </c>
      <c r="C175" s="2">
        <v>46007</v>
      </c>
      <c r="D175" s="2" t="str">
        <f t="shared" si="20"/>
        <v>2025년</v>
      </c>
      <c r="E175" s="1" t="str">
        <f t="shared" si="21"/>
        <v>12월</v>
      </c>
      <c r="F175" s="1" t="str">
        <f t="shared" si="22"/>
        <v>2025년12월</v>
      </c>
      <c r="G175" s="1" t="s">
        <v>298</v>
      </c>
      <c r="H175" s="1" t="str">
        <f>IFERROR((VLOOKUP(G175,Backdata!G:H,2,0)),"")</f>
        <v>312-86-18125</v>
      </c>
      <c r="I175" s="1" t="s">
        <v>10</v>
      </c>
      <c r="J175" s="7" t="s">
        <v>12</v>
      </c>
      <c r="K175" s="1" t="s">
        <v>322</v>
      </c>
      <c r="L175" s="1">
        <v>2</v>
      </c>
      <c r="M175" s="5">
        <v>128000</v>
      </c>
      <c r="N175" s="3">
        <f t="shared" si="27"/>
        <v>281600</v>
      </c>
      <c r="O175" s="5">
        <v>120000</v>
      </c>
      <c r="P175" s="3">
        <f t="shared" si="28"/>
        <v>264000</v>
      </c>
      <c r="Q175" s="3">
        <f t="shared" si="23"/>
        <v>17600</v>
      </c>
      <c r="R175" s="1" t="s">
        <v>19</v>
      </c>
      <c r="T175" s="27">
        <v>46006</v>
      </c>
      <c r="U175" s="1" t="str">
        <f t="shared" si="25"/>
        <v>완료</v>
      </c>
    </row>
    <row r="176" spans="2:21">
      <c r="B176" s="1">
        <f t="shared" si="26"/>
        <v>172</v>
      </c>
      <c r="C176" s="2">
        <v>46007</v>
      </c>
      <c r="D176" s="2" t="str">
        <f t="shared" si="20"/>
        <v>2025년</v>
      </c>
      <c r="E176" s="1" t="str">
        <f t="shared" si="21"/>
        <v>12월</v>
      </c>
      <c r="F176" s="1" t="str">
        <f t="shared" si="22"/>
        <v>2025년12월</v>
      </c>
      <c r="G176" s="1" t="s">
        <v>298</v>
      </c>
      <c r="H176" s="1" t="str">
        <f>IFERROR((VLOOKUP(G176,Backdata!G:H,2,0)),"")</f>
        <v>312-86-18125</v>
      </c>
      <c r="I176" s="1" t="s">
        <v>10</v>
      </c>
      <c r="J176" s="7" t="s">
        <v>12</v>
      </c>
      <c r="K176" s="1" t="s">
        <v>13</v>
      </c>
      <c r="L176" s="1">
        <v>2</v>
      </c>
      <c r="M176" s="5">
        <v>87000</v>
      </c>
      <c r="N176" s="3">
        <f t="shared" si="27"/>
        <v>191400.00000000003</v>
      </c>
      <c r="O176" s="5">
        <v>80000</v>
      </c>
      <c r="P176" s="3">
        <f t="shared" si="28"/>
        <v>176000</v>
      </c>
      <c r="Q176" s="3">
        <f t="shared" si="23"/>
        <v>15400.000000000029</v>
      </c>
      <c r="R176" s="1" t="s">
        <v>19</v>
      </c>
      <c r="T176" s="27">
        <v>46006</v>
      </c>
      <c r="U176" s="1" t="str">
        <f t="shared" si="25"/>
        <v>완료</v>
      </c>
    </row>
    <row r="177" spans="2:21">
      <c r="B177" s="1">
        <f t="shared" si="26"/>
        <v>173</v>
      </c>
      <c r="C177" s="2">
        <v>46007</v>
      </c>
      <c r="D177" s="2" t="str">
        <f t="shared" si="20"/>
        <v>2025년</v>
      </c>
      <c r="E177" s="1" t="str">
        <f t="shared" si="21"/>
        <v>12월</v>
      </c>
      <c r="F177" s="1" t="str">
        <f t="shared" si="22"/>
        <v>2025년12월</v>
      </c>
      <c r="G177" s="1" t="s">
        <v>298</v>
      </c>
      <c r="H177" s="1" t="str">
        <f>IFERROR((VLOOKUP(G177,Backdata!G:H,2,0)),"")</f>
        <v>312-86-18125</v>
      </c>
      <c r="I177" s="1" t="s">
        <v>9</v>
      </c>
      <c r="J177" s="7" t="s">
        <v>12</v>
      </c>
      <c r="K177" s="1" t="s">
        <v>51</v>
      </c>
      <c r="L177" s="1">
        <v>2</v>
      </c>
      <c r="M177" s="5">
        <v>168000</v>
      </c>
      <c r="N177" s="3">
        <f t="shared" si="27"/>
        <v>369600.00000000006</v>
      </c>
      <c r="O177" s="5">
        <v>160000</v>
      </c>
      <c r="P177" s="3">
        <f t="shared" si="28"/>
        <v>352000</v>
      </c>
      <c r="Q177" s="3">
        <f t="shared" si="23"/>
        <v>17600.000000000058</v>
      </c>
      <c r="R177" s="1" t="s">
        <v>19</v>
      </c>
      <c r="T177" s="27" t="str">
        <f>IF(OR(I177="타이어",I177=""),"",C177)</f>
        <v/>
      </c>
      <c r="U177" s="1" t="str">
        <f t="shared" si="25"/>
        <v/>
      </c>
    </row>
    <row r="178" spans="2:21">
      <c r="B178" s="1">
        <f t="shared" si="26"/>
        <v>174</v>
      </c>
      <c r="C178" s="2">
        <v>46015</v>
      </c>
      <c r="D178" s="2" t="str">
        <f t="shared" si="20"/>
        <v>2025년</v>
      </c>
      <c r="E178" s="1" t="str">
        <f t="shared" si="21"/>
        <v>12월</v>
      </c>
      <c r="F178" s="1" t="str">
        <f t="shared" si="22"/>
        <v>2025년12월</v>
      </c>
      <c r="G178" s="1" t="s">
        <v>323</v>
      </c>
      <c r="H178" s="1" t="str">
        <f>IFERROR((VLOOKUP(G178,Backdata!G:H,2,0)),"")</f>
        <v>428-86-01083</v>
      </c>
      <c r="I178" s="1" t="s">
        <v>10</v>
      </c>
      <c r="J178" s="7" t="s">
        <v>61</v>
      </c>
      <c r="K178" s="1" t="s">
        <v>23</v>
      </c>
      <c r="L178" s="1">
        <v>2</v>
      </c>
      <c r="M178" s="5">
        <v>240000</v>
      </c>
      <c r="N178" s="3">
        <f t="shared" si="27"/>
        <v>528000</v>
      </c>
      <c r="O178" s="5">
        <v>230000</v>
      </c>
      <c r="P178" s="3">
        <f t="shared" si="28"/>
        <v>506000.00000000006</v>
      </c>
      <c r="Q178" s="3">
        <f t="shared" si="23"/>
        <v>21999.999999999942</v>
      </c>
      <c r="R178" s="1" t="s">
        <v>19</v>
      </c>
      <c r="T178" s="27">
        <v>46017</v>
      </c>
      <c r="U178" s="1" t="str">
        <f t="shared" si="25"/>
        <v>완료</v>
      </c>
    </row>
    <row r="179" spans="2:21">
      <c r="B179" s="1">
        <f t="shared" si="26"/>
        <v>175</v>
      </c>
      <c r="C179" s="2">
        <v>46015</v>
      </c>
      <c r="D179" s="2" t="str">
        <f t="shared" si="20"/>
        <v>2025년</v>
      </c>
      <c r="E179" s="1" t="str">
        <f t="shared" si="21"/>
        <v>12월</v>
      </c>
      <c r="F179" s="1" t="str">
        <f t="shared" si="22"/>
        <v>2025년12월</v>
      </c>
      <c r="G179" s="1" t="s">
        <v>323</v>
      </c>
      <c r="H179" s="1" t="str">
        <f>IFERROR((VLOOKUP(G179,Backdata!G:H,2,0)),"")</f>
        <v>428-86-01083</v>
      </c>
      <c r="I179" s="1" t="s">
        <v>10</v>
      </c>
      <c r="J179" s="7" t="s">
        <v>54</v>
      </c>
      <c r="K179" s="1" t="s">
        <v>23</v>
      </c>
      <c r="L179" s="1">
        <v>2</v>
      </c>
      <c r="M179" s="5">
        <v>140000</v>
      </c>
      <c r="N179" s="3">
        <f t="shared" si="27"/>
        <v>308000</v>
      </c>
      <c r="O179" s="5">
        <v>120000</v>
      </c>
      <c r="P179" s="3">
        <f t="shared" si="28"/>
        <v>264000</v>
      </c>
      <c r="Q179" s="3">
        <f t="shared" si="23"/>
        <v>44000</v>
      </c>
      <c r="R179" s="1" t="s">
        <v>19</v>
      </c>
      <c r="T179" s="27">
        <v>46017</v>
      </c>
      <c r="U179" s="1" t="str">
        <f t="shared" si="25"/>
        <v>완료</v>
      </c>
    </row>
    <row r="180" spans="2:21" hidden="1">
      <c r="B180" s="1">
        <f t="shared" si="26"/>
        <v>176</v>
      </c>
      <c r="C180" s="2">
        <v>46016</v>
      </c>
      <c r="D180" s="2" t="str">
        <f t="shared" si="20"/>
        <v>2025년</v>
      </c>
      <c r="E180" s="1" t="str">
        <f t="shared" si="21"/>
        <v>12월</v>
      </c>
      <c r="F180" s="1" t="str">
        <f t="shared" si="22"/>
        <v>2025년12월</v>
      </c>
      <c r="G180" s="1" t="s">
        <v>235</v>
      </c>
      <c r="H180" s="1" t="str">
        <f>IFERROR((VLOOKUP(G180,Backdata!G:H,2,0)),"")</f>
        <v>235-86-01235</v>
      </c>
      <c r="I180" s="1" t="s">
        <v>28</v>
      </c>
      <c r="J180" s="1" t="s">
        <v>30</v>
      </c>
      <c r="K180" s="1" t="s">
        <v>31</v>
      </c>
      <c r="L180" s="1">
        <v>2</v>
      </c>
      <c r="M180" s="5">
        <v>1100000</v>
      </c>
      <c r="N180" s="3">
        <f t="shared" si="27"/>
        <v>2420000</v>
      </c>
      <c r="O180" s="5">
        <v>800000</v>
      </c>
      <c r="P180" s="3">
        <f t="shared" si="28"/>
        <v>1760000.0000000002</v>
      </c>
      <c r="Q180" s="3">
        <f t="shared" si="23"/>
        <v>659999.99999999977</v>
      </c>
      <c r="R180" s="1" t="s">
        <v>19</v>
      </c>
      <c r="S180" s="1" t="s">
        <v>19</v>
      </c>
      <c r="T180" s="27">
        <f>IF(OR(I180="타이어",I180=""),"",C180)</f>
        <v>46016</v>
      </c>
      <c r="U180" s="1" t="str">
        <f t="shared" si="25"/>
        <v>완료</v>
      </c>
    </row>
    <row r="181" spans="2:21">
      <c r="B181" s="1">
        <f t="shared" si="26"/>
        <v>177</v>
      </c>
      <c r="C181" s="2">
        <v>46021</v>
      </c>
      <c r="D181" s="2" t="str">
        <f t="shared" si="20"/>
        <v>2025년</v>
      </c>
      <c r="E181" s="1" t="str">
        <f t="shared" si="21"/>
        <v>12월</v>
      </c>
      <c r="F181" s="1" t="str">
        <f t="shared" si="22"/>
        <v>2025년12월</v>
      </c>
      <c r="G181" s="1" t="s">
        <v>323</v>
      </c>
      <c r="H181" s="1" t="str">
        <f>IFERROR((VLOOKUP(G181,Backdata!G:H,2,0)),"")</f>
        <v>428-86-01083</v>
      </c>
      <c r="I181" s="1" t="s">
        <v>10</v>
      </c>
      <c r="J181" s="1" t="s">
        <v>324</v>
      </c>
      <c r="K181" s="1" t="s">
        <v>325</v>
      </c>
      <c r="L181" s="1">
        <v>4</v>
      </c>
      <c r="M181" s="5">
        <v>100000</v>
      </c>
      <c r="N181" s="3">
        <f t="shared" si="27"/>
        <v>440000.00000000006</v>
      </c>
      <c r="O181" s="5">
        <v>80000</v>
      </c>
      <c r="P181" s="3">
        <f t="shared" si="28"/>
        <v>352000</v>
      </c>
      <c r="Q181" s="3">
        <f t="shared" si="23"/>
        <v>88000.000000000058</v>
      </c>
      <c r="R181" s="1" t="s">
        <v>19</v>
      </c>
      <c r="T181" s="27">
        <v>46017</v>
      </c>
      <c r="U181" s="1" t="str">
        <f t="shared" si="25"/>
        <v>완료</v>
      </c>
    </row>
    <row r="182" spans="2:21">
      <c r="B182" s="1">
        <f t="shared" si="26"/>
        <v>178</v>
      </c>
      <c r="C182" s="2">
        <v>46021</v>
      </c>
      <c r="D182" s="2" t="str">
        <f t="shared" si="20"/>
        <v>2025년</v>
      </c>
      <c r="E182" s="1" t="str">
        <f t="shared" si="21"/>
        <v>12월</v>
      </c>
      <c r="F182" s="1" t="str">
        <f t="shared" si="22"/>
        <v>2025년12월</v>
      </c>
      <c r="G182" s="1" t="s">
        <v>323</v>
      </c>
      <c r="H182" s="1" t="str">
        <f>IFERROR((VLOOKUP(G182,Backdata!G:H,2,0)),"")</f>
        <v>428-86-01083</v>
      </c>
      <c r="I182" s="1" t="s">
        <v>10</v>
      </c>
      <c r="J182" s="1" t="s">
        <v>324</v>
      </c>
      <c r="K182" s="1" t="s">
        <v>326</v>
      </c>
      <c r="L182" s="1">
        <v>2</v>
      </c>
      <c r="M182" s="5">
        <v>170000</v>
      </c>
      <c r="N182" s="3">
        <f t="shared" si="27"/>
        <v>374000.00000000006</v>
      </c>
      <c r="O182" s="5">
        <v>150000</v>
      </c>
      <c r="P182" s="3">
        <f t="shared" si="28"/>
        <v>330000</v>
      </c>
      <c r="Q182" s="3">
        <f t="shared" si="23"/>
        <v>44000.000000000058</v>
      </c>
      <c r="R182" s="1" t="s">
        <v>19</v>
      </c>
      <c r="T182" s="27">
        <v>46017</v>
      </c>
      <c r="U182" s="1" t="str">
        <f t="shared" si="25"/>
        <v>완료</v>
      </c>
    </row>
    <row r="183" spans="2:21">
      <c r="B183" s="1">
        <f t="shared" si="26"/>
        <v>179</v>
      </c>
      <c r="C183" s="2">
        <v>46021</v>
      </c>
      <c r="D183" s="2" t="str">
        <f t="shared" si="20"/>
        <v>2025년</v>
      </c>
      <c r="E183" s="1" t="str">
        <f t="shared" si="21"/>
        <v>12월</v>
      </c>
      <c r="F183" s="1" t="str">
        <f t="shared" si="22"/>
        <v>2025년12월</v>
      </c>
      <c r="G183" s="1" t="s">
        <v>323</v>
      </c>
      <c r="H183" s="1" t="str">
        <f>IFERROR((VLOOKUP(G183,Backdata!G:H,2,0)),"")</f>
        <v>428-86-01083</v>
      </c>
      <c r="I183" s="1" t="s">
        <v>9</v>
      </c>
      <c r="J183" s="1" t="s">
        <v>324</v>
      </c>
      <c r="K183" s="1" t="s">
        <v>125</v>
      </c>
      <c r="L183" s="1">
        <v>4</v>
      </c>
      <c r="M183" s="5">
        <v>110000</v>
      </c>
      <c r="N183" s="3">
        <f t="shared" si="27"/>
        <v>484000.00000000006</v>
      </c>
      <c r="O183" s="5">
        <v>90000</v>
      </c>
      <c r="P183" s="3">
        <f t="shared" si="28"/>
        <v>396000.00000000006</v>
      </c>
      <c r="Q183" s="3">
        <f t="shared" si="23"/>
        <v>88000</v>
      </c>
      <c r="R183" s="1" t="s">
        <v>19</v>
      </c>
      <c r="T183" s="27" t="str">
        <f>IF(OR(I183="타이어",I183=""),"",C183)</f>
        <v/>
      </c>
      <c r="U183" s="1" t="str">
        <f t="shared" si="25"/>
        <v/>
      </c>
    </row>
    <row r="184" spans="2:21">
      <c r="B184" s="1">
        <f t="shared" si="26"/>
        <v>180</v>
      </c>
      <c r="C184" s="2">
        <v>46028</v>
      </c>
      <c r="D184" s="2" t="str">
        <f t="shared" si="20"/>
        <v>2026년</v>
      </c>
      <c r="E184" s="1" t="str">
        <f t="shared" si="21"/>
        <v>1월</v>
      </c>
      <c r="F184" s="1" t="str">
        <f t="shared" si="22"/>
        <v>2026년1월</v>
      </c>
      <c r="G184" s="1" t="s">
        <v>327</v>
      </c>
      <c r="H184" s="1" t="str">
        <f>IFERROR((VLOOKUP(G184,Backdata!G:H,2,0)),"")</f>
        <v>897-86-02385</v>
      </c>
      <c r="I184" s="1" t="s">
        <v>9</v>
      </c>
      <c r="J184" s="1" t="s">
        <v>12</v>
      </c>
      <c r="K184" s="1" t="s">
        <v>328</v>
      </c>
      <c r="L184" s="1">
        <v>2</v>
      </c>
      <c r="M184" s="5">
        <v>180000</v>
      </c>
      <c r="N184" s="3">
        <f t="shared" si="27"/>
        <v>396000.00000000006</v>
      </c>
      <c r="O184" s="5">
        <v>150000</v>
      </c>
      <c r="P184" s="3">
        <f t="shared" si="28"/>
        <v>330000</v>
      </c>
      <c r="Q184" s="3">
        <f t="shared" si="23"/>
        <v>66000.000000000058</v>
      </c>
      <c r="R184" s="1" t="s">
        <v>19</v>
      </c>
      <c r="T184" s="27">
        <v>46028</v>
      </c>
      <c r="U184" s="1" t="str">
        <f t="shared" si="25"/>
        <v>완료</v>
      </c>
    </row>
    <row r="185" spans="2:21" hidden="1">
      <c r="B185" s="1">
        <f t="shared" si="26"/>
        <v>181</v>
      </c>
      <c r="C185" s="2">
        <v>46028</v>
      </c>
      <c r="D185" s="2" t="str">
        <f t="shared" si="20"/>
        <v>2026년</v>
      </c>
      <c r="E185" s="1" t="str">
        <f t="shared" si="21"/>
        <v>1월</v>
      </c>
      <c r="F185" s="1" t="str">
        <f t="shared" si="22"/>
        <v>2026년1월</v>
      </c>
      <c r="G185" s="1" t="s">
        <v>224</v>
      </c>
      <c r="H185" s="1" t="str">
        <f>IFERROR((VLOOKUP(G185,Backdata!G:H,2,0)),"")</f>
        <v>318-81-11047</v>
      </c>
      <c r="I185" s="1" t="s">
        <v>46</v>
      </c>
      <c r="J185" s="1" t="s">
        <v>53</v>
      </c>
      <c r="K185" s="1" t="s">
        <v>52</v>
      </c>
      <c r="L185" s="1">
        <v>1</v>
      </c>
      <c r="M185" s="5">
        <v>630000</v>
      </c>
      <c r="N185" s="3">
        <f t="shared" si="27"/>
        <v>693000</v>
      </c>
      <c r="O185" s="5">
        <v>580000</v>
      </c>
      <c r="P185" s="3">
        <f t="shared" si="28"/>
        <v>638000</v>
      </c>
      <c r="Q185" s="3">
        <f t="shared" si="23"/>
        <v>55000</v>
      </c>
      <c r="R185" s="1" t="s">
        <v>19</v>
      </c>
      <c r="T185" s="27">
        <f t="shared" ref="T185:T248" si="29">IF(OR(I185="타이어",I185=""),"",C185)</f>
        <v>46028</v>
      </c>
      <c r="U185" s="1" t="str">
        <f t="shared" si="25"/>
        <v>완료</v>
      </c>
    </row>
    <row r="186" spans="2:21" hidden="1">
      <c r="B186" s="1">
        <f t="shared" si="26"/>
        <v>182</v>
      </c>
      <c r="C186" s="2">
        <v>46028</v>
      </c>
      <c r="D186" s="2" t="str">
        <f t="shared" si="20"/>
        <v>2026년</v>
      </c>
      <c r="E186" s="1" t="str">
        <f t="shared" si="21"/>
        <v>1월</v>
      </c>
      <c r="F186" s="1" t="str">
        <f t="shared" si="22"/>
        <v>2026년1월</v>
      </c>
      <c r="G186" s="1" t="s">
        <v>235</v>
      </c>
      <c r="H186" s="1" t="str">
        <f>IFERROR((VLOOKUP(G186,Backdata!G:H,2,0)),"")</f>
        <v>235-86-01235</v>
      </c>
      <c r="I186" s="1" t="s">
        <v>46</v>
      </c>
      <c r="J186" s="1" t="s">
        <v>131</v>
      </c>
      <c r="K186" s="1" t="s">
        <v>47</v>
      </c>
      <c r="L186" s="1">
        <v>1</v>
      </c>
      <c r="M186" s="5">
        <v>1450000</v>
      </c>
      <c r="N186" s="3">
        <f t="shared" si="27"/>
        <v>1595000.0000000002</v>
      </c>
      <c r="O186" s="5">
        <v>1000000</v>
      </c>
      <c r="P186" s="3">
        <f t="shared" si="28"/>
        <v>1100000</v>
      </c>
      <c r="Q186" s="3">
        <f t="shared" si="23"/>
        <v>495000.00000000023</v>
      </c>
      <c r="R186" s="1" t="s">
        <v>19</v>
      </c>
      <c r="T186" s="27">
        <f t="shared" si="29"/>
        <v>46028</v>
      </c>
      <c r="U186" s="1" t="str">
        <f t="shared" si="25"/>
        <v>완료</v>
      </c>
    </row>
    <row r="187" spans="2:21">
      <c r="B187" s="1">
        <f t="shared" si="26"/>
        <v>183</v>
      </c>
      <c r="C187" s="2">
        <v>46028</v>
      </c>
      <c r="D187" s="2" t="str">
        <f t="shared" si="20"/>
        <v>2026년</v>
      </c>
      <c r="E187" s="1" t="str">
        <f t="shared" si="21"/>
        <v>1월</v>
      </c>
      <c r="F187" s="1" t="str">
        <f t="shared" si="22"/>
        <v>2026년1월</v>
      </c>
      <c r="G187" s="1" t="s">
        <v>331</v>
      </c>
      <c r="H187" s="1" t="str">
        <f>IFERROR((VLOOKUP(G187,Backdata!G:H,2,0)),"")</f>
        <v>301-86-32786</v>
      </c>
      <c r="I187" s="1" t="s">
        <v>9</v>
      </c>
      <c r="J187" s="1" t="s">
        <v>12</v>
      </c>
      <c r="K187" s="1" t="s">
        <v>22</v>
      </c>
      <c r="L187" s="1">
        <v>4</v>
      </c>
      <c r="M187" s="5">
        <v>158000</v>
      </c>
      <c r="N187" s="3">
        <f t="shared" si="27"/>
        <v>695200</v>
      </c>
      <c r="O187" s="5">
        <v>0</v>
      </c>
      <c r="P187" s="3">
        <f t="shared" si="28"/>
        <v>0</v>
      </c>
      <c r="Q187" s="3">
        <f t="shared" si="23"/>
        <v>695200</v>
      </c>
      <c r="R187" s="1" t="s">
        <v>19</v>
      </c>
      <c r="T187" s="27" t="str">
        <f t="shared" si="29"/>
        <v/>
      </c>
      <c r="U187" s="1" t="str">
        <f t="shared" si="25"/>
        <v/>
      </c>
    </row>
    <row r="188" spans="2:21">
      <c r="B188" s="1">
        <f t="shared" si="26"/>
        <v>184</v>
      </c>
      <c r="C188" s="2">
        <v>46043</v>
      </c>
      <c r="D188" s="2" t="str">
        <f t="shared" si="20"/>
        <v>2026년</v>
      </c>
      <c r="E188" s="1" t="str">
        <f t="shared" si="21"/>
        <v>1월</v>
      </c>
      <c r="F188" s="1" t="str">
        <f t="shared" si="22"/>
        <v>2026년1월</v>
      </c>
      <c r="G188" s="1" t="s">
        <v>332</v>
      </c>
      <c r="H188" s="1" t="str">
        <f>IFERROR((VLOOKUP(G188,Backdata!G:H,2,0)),"")</f>
        <v>503-81-85128</v>
      </c>
      <c r="I188" s="1" t="s">
        <v>9</v>
      </c>
      <c r="J188" s="1" t="s">
        <v>337</v>
      </c>
      <c r="K188" s="1" t="s">
        <v>338</v>
      </c>
      <c r="L188" s="1">
        <v>4</v>
      </c>
      <c r="M188" s="5">
        <v>440000</v>
      </c>
      <c r="N188" s="3">
        <f t="shared" si="27"/>
        <v>1936000.0000000002</v>
      </c>
      <c r="O188" s="5">
        <v>420000</v>
      </c>
      <c r="P188" s="3">
        <f t="shared" si="28"/>
        <v>1848000.0000000002</v>
      </c>
      <c r="Q188" s="3">
        <f t="shared" si="23"/>
        <v>88000</v>
      </c>
      <c r="R188" s="1" t="s">
        <v>19</v>
      </c>
      <c r="T188" s="27" t="str">
        <f t="shared" si="29"/>
        <v/>
      </c>
      <c r="U188" s="1" t="str">
        <f t="shared" si="25"/>
        <v/>
      </c>
    </row>
    <row r="189" spans="2:21">
      <c r="B189" s="1">
        <f t="shared" si="26"/>
        <v>185</v>
      </c>
      <c r="C189" s="2">
        <v>46043</v>
      </c>
      <c r="D189" s="2" t="str">
        <f t="shared" si="20"/>
        <v>2026년</v>
      </c>
      <c r="E189" s="1" t="str">
        <f t="shared" si="21"/>
        <v>1월</v>
      </c>
      <c r="F189" s="1" t="str">
        <f t="shared" si="22"/>
        <v>2026년1월</v>
      </c>
      <c r="G189" s="1" t="s">
        <v>332</v>
      </c>
      <c r="H189" s="1" t="str">
        <f>IFERROR((VLOOKUP(G189,Backdata!G:H,2,0)),"")</f>
        <v>503-81-85128</v>
      </c>
      <c r="I189" s="1" t="s">
        <v>9</v>
      </c>
      <c r="J189" s="1" t="s">
        <v>34</v>
      </c>
      <c r="K189" s="1" t="s">
        <v>338</v>
      </c>
      <c r="L189" s="1">
        <v>4</v>
      </c>
      <c r="M189" s="5">
        <v>30000</v>
      </c>
      <c r="N189" s="3">
        <f t="shared" si="27"/>
        <v>132000</v>
      </c>
      <c r="O189" s="5">
        <v>30000</v>
      </c>
      <c r="P189" s="3">
        <f t="shared" si="28"/>
        <v>132000</v>
      </c>
      <c r="Q189" s="3">
        <f t="shared" si="23"/>
        <v>0</v>
      </c>
      <c r="R189" s="1" t="s">
        <v>19</v>
      </c>
      <c r="T189" s="27" t="str">
        <f t="shared" si="29"/>
        <v/>
      </c>
      <c r="U189" s="1" t="str">
        <f t="shared" si="25"/>
        <v/>
      </c>
    </row>
    <row r="190" spans="2:21">
      <c r="B190" s="1">
        <f t="shared" si="26"/>
        <v>186</v>
      </c>
      <c r="C190" s="2">
        <v>46043</v>
      </c>
      <c r="D190" s="2" t="str">
        <f t="shared" si="20"/>
        <v>2026년</v>
      </c>
      <c r="E190" s="1" t="str">
        <f t="shared" si="21"/>
        <v>1월</v>
      </c>
      <c r="F190" s="1" t="str">
        <f t="shared" si="22"/>
        <v>2026년1월</v>
      </c>
      <c r="G190" s="1" t="s">
        <v>332</v>
      </c>
      <c r="H190" s="1" t="str">
        <f>IFERROR((VLOOKUP(G190,Backdata!G:H,2,0)),"")</f>
        <v>503-81-85128</v>
      </c>
      <c r="I190" s="1" t="s">
        <v>9</v>
      </c>
      <c r="J190" s="1" t="s">
        <v>34</v>
      </c>
      <c r="K190" s="1" t="s">
        <v>338</v>
      </c>
      <c r="L190" s="1">
        <v>2</v>
      </c>
      <c r="M190" s="5">
        <v>10000</v>
      </c>
      <c r="N190" s="3">
        <f t="shared" si="27"/>
        <v>22000</v>
      </c>
      <c r="O190" s="5">
        <v>10000</v>
      </c>
      <c r="P190" s="3">
        <f t="shared" si="28"/>
        <v>22000</v>
      </c>
      <c r="Q190" s="3">
        <f t="shared" si="23"/>
        <v>0</v>
      </c>
      <c r="R190" s="1" t="s">
        <v>19</v>
      </c>
      <c r="T190" s="27" t="str">
        <f t="shared" si="29"/>
        <v/>
      </c>
      <c r="U190" s="1" t="str">
        <f t="shared" si="25"/>
        <v/>
      </c>
    </row>
    <row r="191" spans="2:21">
      <c r="B191" s="1">
        <f t="shared" si="26"/>
        <v>187</v>
      </c>
      <c r="C191" s="2">
        <v>46050</v>
      </c>
      <c r="D191" s="2" t="str">
        <f t="shared" ref="D191:D194" si="30">IF((C191=""),"",(YEAR(C191)&amp;"년"))</f>
        <v>2026년</v>
      </c>
      <c r="E191" s="1" t="str">
        <f t="shared" ref="E191:E194" si="31">IF((C191=""),"",(MONTH(C191)&amp;"월"))</f>
        <v>1월</v>
      </c>
      <c r="F191" s="1" t="str">
        <f t="shared" ref="F191:F194" si="32">CONCATENATE(D191,E191)</f>
        <v>2026년1월</v>
      </c>
      <c r="G191" s="1" t="s">
        <v>340</v>
      </c>
      <c r="H191" s="1" t="str">
        <f>IFERROR((VLOOKUP(G191,Backdata!G:H,2,0)),"")</f>
        <v>416-81-34873</v>
      </c>
      <c r="I191" s="1" t="s">
        <v>9</v>
      </c>
      <c r="J191" s="1" t="s">
        <v>60</v>
      </c>
      <c r="K191" s="1" t="s">
        <v>67</v>
      </c>
      <c r="L191" s="1">
        <v>2</v>
      </c>
      <c r="M191" s="5">
        <v>215000</v>
      </c>
      <c r="N191" s="3">
        <f t="shared" ref="N191:N194" si="33">M191*L191*1.1</f>
        <v>473000.00000000006</v>
      </c>
      <c r="O191" s="5">
        <v>200000</v>
      </c>
      <c r="P191" s="3">
        <f t="shared" ref="P191:P194" si="34">O191*L191*1.1</f>
        <v>440000.00000000006</v>
      </c>
      <c r="Q191" s="3">
        <f t="shared" ref="Q191:Q194" si="35">N191-P191</f>
        <v>33000</v>
      </c>
      <c r="R191" s="1" t="s">
        <v>19</v>
      </c>
      <c r="T191" s="27" t="str">
        <f t="shared" si="29"/>
        <v/>
      </c>
      <c r="U191" s="1" t="str">
        <f t="shared" si="25"/>
        <v/>
      </c>
    </row>
    <row r="192" spans="2:21">
      <c r="B192" s="1">
        <f t="shared" si="26"/>
        <v>188</v>
      </c>
      <c r="C192" s="2">
        <v>46050</v>
      </c>
      <c r="D192" s="2" t="str">
        <f t="shared" si="30"/>
        <v>2026년</v>
      </c>
      <c r="E192" s="1" t="str">
        <f t="shared" si="31"/>
        <v>1월</v>
      </c>
      <c r="F192" s="1" t="str">
        <f t="shared" si="32"/>
        <v>2026년1월</v>
      </c>
      <c r="G192" s="1" t="s">
        <v>340</v>
      </c>
      <c r="H192" s="1" t="str">
        <f>IFERROR((VLOOKUP(G192,Backdata!G:H,2,0)),"")</f>
        <v>416-81-34873</v>
      </c>
      <c r="I192" s="1" t="s">
        <v>9</v>
      </c>
      <c r="J192" s="1" t="s">
        <v>24</v>
      </c>
      <c r="K192" s="1" t="s">
        <v>67</v>
      </c>
      <c r="L192" s="1">
        <v>2</v>
      </c>
      <c r="M192" s="5">
        <v>6000</v>
      </c>
      <c r="N192" s="3">
        <f t="shared" si="33"/>
        <v>13200.000000000002</v>
      </c>
      <c r="O192" s="5">
        <v>6000</v>
      </c>
      <c r="P192" s="3">
        <f t="shared" si="34"/>
        <v>13200.000000000002</v>
      </c>
      <c r="Q192" s="3">
        <f t="shared" si="35"/>
        <v>0</v>
      </c>
      <c r="R192" s="1" t="s">
        <v>19</v>
      </c>
      <c r="T192" s="27" t="str">
        <f t="shared" si="29"/>
        <v/>
      </c>
      <c r="U192" s="1" t="str">
        <f t="shared" si="25"/>
        <v/>
      </c>
    </row>
    <row r="193" spans="2:21" hidden="1">
      <c r="B193" s="1">
        <f t="shared" si="26"/>
        <v>189</v>
      </c>
      <c r="C193" s="2">
        <v>46051</v>
      </c>
      <c r="D193" s="2" t="str">
        <f t="shared" si="30"/>
        <v>2026년</v>
      </c>
      <c r="E193" s="1" t="str">
        <f t="shared" si="31"/>
        <v>1월</v>
      </c>
      <c r="F193" s="1" t="str">
        <f t="shared" si="32"/>
        <v>2026년1월</v>
      </c>
      <c r="G193" s="1" t="s">
        <v>341</v>
      </c>
      <c r="H193" s="1" t="str">
        <f>IFERROR((VLOOKUP(G193,Backdata!G:H,2,0)),"")</f>
        <v>235-86-01235</v>
      </c>
      <c r="I193" s="1" t="s">
        <v>28</v>
      </c>
      <c r="J193" s="1" t="s">
        <v>30</v>
      </c>
      <c r="K193" s="1" t="s">
        <v>31</v>
      </c>
      <c r="L193" s="1">
        <v>2</v>
      </c>
      <c r="M193" s="5">
        <v>1100000</v>
      </c>
      <c r="N193" s="3">
        <f t="shared" si="33"/>
        <v>2420000</v>
      </c>
      <c r="O193" s="5">
        <v>800000</v>
      </c>
      <c r="P193" s="3">
        <f t="shared" si="34"/>
        <v>1760000.0000000002</v>
      </c>
      <c r="Q193" s="3">
        <f t="shared" si="35"/>
        <v>659999.99999999977</v>
      </c>
      <c r="R193" s="1" t="s">
        <v>19</v>
      </c>
      <c r="T193" s="27">
        <f t="shared" si="29"/>
        <v>46051</v>
      </c>
      <c r="U193" s="1" t="str">
        <f t="shared" si="25"/>
        <v>완료</v>
      </c>
    </row>
    <row r="194" spans="2:21">
      <c r="B194" s="1">
        <f t="shared" si="26"/>
        <v>190</v>
      </c>
      <c r="C194" s="2">
        <v>46048</v>
      </c>
      <c r="D194" s="2" t="str">
        <f t="shared" si="30"/>
        <v>2026년</v>
      </c>
      <c r="E194" s="1" t="str">
        <f t="shared" si="31"/>
        <v>1월</v>
      </c>
      <c r="F194" s="1" t="str">
        <f t="shared" si="32"/>
        <v>2026년1월</v>
      </c>
      <c r="G194" s="1" t="s">
        <v>49</v>
      </c>
      <c r="H194" s="1" t="str">
        <f>IFERROR((VLOOKUP(G194,Backdata!G:H,2,0)),"")</f>
        <v>134-12-98663</v>
      </c>
      <c r="I194" s="1" t="s">
        <v>9</v>
      </c>
      <c r="J194" s="1" t="s">
        <v>63</v>
      </c>
      <c r="K194" s="1" t="s">
        <v>322</v>
      </c>
      <c r="L194" s="1">
        <v>2</v>
      </c>
      <c r="M194" s="5">
        <v>165000</v>
      </c>
      <c r="N194" s="3">
        <f t="shared" si="33"/>
        <v>363000.00000000006</v>
      </c>
      <c r="O194" s="5">
        <v>150000</v>
      </c>
      <c r="P194" s="3">
        <f t="shared" si="34"/>
        <v>330000</v>
      </c>
      <c r="Q194" s="3">
        <f t="shared" si="35"/>
        <v>33000.000000000058</v>
      </c>
      <c r="R194" s="1" t="s">
        <v>19</v>
      </c>
      <c r="T194" s="27" t="str">
        <f t="shared" si="29"/>
        <v/>
      </c>
      <c r="U194" s="1" t="str">
        <f t="shared" si="25"/>
        <v/>
      </c>
    </row>
    <row r="195" spans="2:21">
      <c r="B195" s="1">
        <f t="shared" si="26"/>
        <v>191</v>
      </c>
      <c r="C195" s="2">
        <v>46048</v>
      </c>
      <c r="D195" s="2" t="str">
        <f t="shared" si="20"/>
        <v>2026년</v>
      </c>
      <c r="E195" s="1" t="str">
        <f t="shared" si="21"/>
        <v>1월</v>
      </c>
      <c r="F195" s="1" t="str">
        <f t="shared" si="22"/>
        <v>2026년1월</v>
      </c>
      <c r="G195" s="1" t="s">
        <v>49</v>
      </c>
      <c r="H195" s="1" t="str">
        <f>IFERROR((VLOOKUP(G195,Backdata!G:H,2,0)),"")</f>
        <v>134-12-98663</v>
      </c>
      <c r="I195" s="1" t="s">
        <v>9</v>
      </c>
      <c r="J195" s="1" t="s">
        <v>63</v>
      </c>
      <c r="K195" s="1" t="s">
        <v>13</v>
      </c>
      <c r="L195" s="1">
        <v>2</v>
      </c>
      <c r="M195" s="5">
        <v>120000</v>
      </c>
      <c r="N195" s="3">
        <f t="shared" si="27"/>
        <v>264000</v>
      </c>
      <c r="O195" s="5">
        <v>110000</v>
      </c>
      <c r="P195" s="3">
        <f t="shared" si="28"/>
        <v>242000.00000000003</v>
      </c>
      <c r="Q195" s="3">
        <f t="shared" si="23"/>
        <v>21999.999999999971</v>
      </c>
      <c r="R195" s="1" t="s">
        <v>19</v>
      </c>
      <c r="T195" s="27" t="str">
        <f t="shared" si="29"/>
        <v/>
      </c>
      <c r="U195" s="1" t="str">
        <f t="shared" si="25"/>
        <v/>
      </c>
    </row>
    <row r="196" spans="2:21" hidden="1">
      <c r="B196" s="1">
        <f t="shared" si="26"/>
        <v>192</v>
      </c>
      <c r="C196" s="2">
        <v>46059</v>
      </c>
      <c r="D196" s="2" t="str">
        <f t="shared" si="20"/>
        <v>2026년</v>
      </c>
      <c r="E196" s="1" t="str">
        <f t="shared" si="21"/>
        <v>2월</v>
      </c>
      <c r="F196" s="1" t="str">
        <f t="shared" si="22"/>
        <v>2026년2월</v>
      </c>
      <c r="G196" s="1" t="s">
        <v>346</v>
      </c>
      <c r="H196" s="1" t="str">
        <f>IFERROR((VLOOKUP(G196,Backdata!G:H,2,0)),"")</f>
        <v>318-81-11047</v>
      </c>
      <c r="I196" s="1" t="s">
        <v>28</v>
      </c>
      <c r="J196" s="1" t="s">
        <v>53</v>
      </c>
      <c r="K196" s="1" t="s">
        <v>52</v>
      </c>
      <c r="L196" s="1">
        <v>1</v>
      </c>
      <c r="M196" s="5">
        <v>630000</v>
      </c>
      <c r="N196" s="3">
        <f t="shared" si="27"/>
        <v>693000</v>
      </c>
      <c r="O196" s="5">
        <v>580000</v>
      </c>
      <c r="P196" s="3">
        <f t="shared" si="28"/>
        <v>638000</v>
      </c>
      <c r="Q196" s="3">
        <f t="shared" si="23"/>
        <v>55000</v>
      </c>
      <c r="R196" s="1" t="s">
        <v>19</v>
      </c>
      <c r="T196" s="27">
        <f t="shared" si="29"/>
        <v>46059</v>
      </c>
      <c r="U196" s="1" t="str">
        <f t="shared" si="25"/>
        <v>완료</v>
      </c>
    </row>
    <row r="197" spans="2:21">
      <c r="B197" s="1">
        <f t="shared" si="26"/>
        <v>193</v>
      </c>
      <c r="C197" s="2">
        <v>46066</v>
      </c>
      <c r="D197" s="2" t="str">
        <f t="shared" ref="D197:D260" si="36">IF((C197=""),"",(YEAR(C197)&amp;"년"))</f>
        <v>2026년</v>
      </c>
      <c r="E197" s="1" t="str">
        <f t="shared" ref="E197:E260" si="37">IF((C197=""),"",(MONTH(C197)&amp;"월"))</f>
        <v>2월</v>
      </c>
      <c r="F197" s="1" t="str">
        <f t="shared" ref="F197:F260" si="38">CONCATENATE(D197,E197)</f>
        <v>2026년2월</v>
      </c>
      <c r="G197" s="1" t="s">
        <v>298</v>
      </c>
      <c r="H197" s="1" t="str">
        <f>IFERROR((VLOOKUP(G197,Backdata!G:H,2,0)),"")</f>
        <v>312-86-18125</v>
      </c>
      <c r="I197" s="1" t="s">
        <v>9</v>
      </c>
      <c r="J197" s="1" t="s">
        <v>12</v>
      </c>
      <c r="K197" s="1" t="s">
        <v>48</v>
      </c>
      <c r="L197" s="1">
        <v>2</v>
      </c>
      <c r="M197" s="5">
        <v>87000</v>
      </c>
      <c r="N197" s="3">
        <f t="shared" si="27"/>
        <v>191400.00000000003</v>
      </c>
      <c r="O197" s="5">
        <v>100000</v>
      </c>
      <c r="P197" s="3">
        <f t="shared" si="28"/>
        <v>220000.00000000003</v>
      </c>
      <c r="Q197" s="3">
        <f t="shared" ref="Q197:Q260" si="39">N197-P197</f>
        <v>-28600</v>
      </c>
      <c r="T197" s="27" t="str">
        <f t="shared" si="29"/>
        <v/>
      </c>
      <c r="U197" s="1" t="str">
        <f t="shared" ref="U197:U260" si="40">IF(T197="","","완료")</f>
        <v/>
      </c>
    </row>
    <row r="198" spans="2:21" hidden="1">
      <c r="B198" s="1">
        <f t="shared" ref="B198:B261" si="41">B197+1</f>
        <v>194</v>
      </c>
      <c r="C198" s="2">
        <v>46078</v>
      </c>
      <c r="D198" s="2" t="str">
        <f t="shared" si="36"/>
        <v>2026년</v>
      </c>
      <c r="E198" s="1" t="str">
        <f t="shared" si="37"/>
        <v>2월</v>
      </c>
      <c r="F198" s="1" t="str">
        <f t="shared" si="38"/>
        <v>2026년2월</v>
      </c>
      <c r="G198" s="1" t="s">
        <v>341</v>
      </c>
      <c r="H198" s="1" t="str">
        <f>IFERROR((VLOOKUP(G198,Backdata!G:H,2,0)),"")</f>
        <v>235-86-01235</v>
      </c>
      <c r="I198" s="1" t="s">
        <v>28</v>
      </c>
      <c r="J198" s="1" t="s">
        <v>30</v>
      </c>
      <c r="K198" s="1" t="s">
        <v>31</v>
      </c>
      <c r="L198" s="1">
        <v>2</v>
      </c>
      <c r="M198" s="5">
        <v>1100000</v>
      </c>
      <c r="N198" s="3">
        <f t="shared" ref="N198:N261" si="42">M198*L198*1.1</f>
        <v>2420000</v>
      </c>
      <c r="O198" s="5">
        <v>800000</v>
      </c>
      <c r="P198" s="3">
        <f t="shared" ref="P198:P261" si="43">O198*L198*1.1</f>
        <v>1760000.0000000002</v>
      </c>
      <c r="Q198" s="3">
        <f t="shared" si="39"/>
        <v>659999.99999999977</v>
      </c>
      <c r="T198" s="27">
        <f t="shared" si="29"/>
        <v>46078</v>
      </c>
      <c r="U198" s="1" t="str">
        <f t="shared" si="40"/>
        <v>완료</v>
      </c>
    </row>
    <row r="199" spans="2:21">
      <c r="B199" s="1">
        <f t="shared" si="41"/>
        <v>195</v>
      </c>
      <c r="C199" s="2">
        <v>46079</v>
      </c>
      <c r="D199" s="2" t="str">
        <f t="shared" si="36"/>
        <v>2026년</v>
      </c>
      <c r="E199" s="1" t="str">
        <f t="shared" si="37"/>
        <v>2월</v>
      </c>
      <c r="F199" s="1" t="str">
        <f t="shared" si="38"/>
        <v>2026년2월</v>
      </c>
      <c r="G199" s="1" t="s">
        <v>332</v>
      </c>
      <c r="H199" s="1" t="str">
        <f>IFERROR((VLOOKUP(G199,Backdata!G:H,2,0)),"")</f>
        <v>503-81-85128</v>
      </c>
      <c r="I199" s="1" t="s">
        <v>9</v>
      </c>
      <c r="J199" s="1" t="s">
        <v>337</v>
      </c>
      <c r="K199" s="1" t="s">
        <v>338</v>
      </c>
      <c r="L199" s="1">
        <v>2</v>
      </c>
      <c r="M199" s="5">
        <v>440000</v>
      </c>
      <c r="N199" s="3">
        <f t="shared" si="42"/>
        <v>968000.00000000012</v>
      </c>
      <c r="O199" s="5">
        <v>420000</v>
      </c>
      <c r="P199" s="3">
        <f t="shared" si="43"/>
        <v>924000.00000000012</v>
      </c>
      <c r="Q199" s="3">
        <f t="shared" si="39"/>
        <v>44000</v>
      </c>
      <c r="T199" s="27" t="str">
        <f t="shared" si="29"/>
        <v/>
      </c>
      <c r="U199" s="1" t="str">
        <f t="shared" si="40"/>
        <v/>
      </c>
    </row>
    <row r="200" spans="2:21">
      <c r="B200" s="1">
        <f t="shared" si="41"/>
        <v>196</v>
      </c>
      <c r="C200" s="2">
        <v>46079</v>
      </c>
      <c r="D200" s="2" t="str">
        <f t="shared" si="36"/>
        <v>2026년</v>
      </c>
      <c r="E200" s="1" t="str">
        <f t="shared" si="37"/>
        <v>2월</v>
      </c>
      <c r="F200" s="1" t="str">
        <f t="shared" si="38"/>
        <v>2026년2월</v>
      </c>
      <c r="G200" s="1" t="s">
        <v>332</v>
      </c>
      <c r="H200" s="1" t="str">
        <f>IFERROR((VLOOKUP(G200,Backdata!G:H,2,0)),"")</f>
        <v>503-81-85128</v>
      </c>
      <c r="I200" s="1" t="s">
        <v>9</v>
      </c>
      <c r="J200" s="1" t="s">
        <v>34</v>
      </c>
      <c r="K200" s="1" t="s">
        <v>338</v>
      </c>
      <c r="L200" s="1">
        <v>2</v>
      </c>
      <c r="M200" s="5">
        <v>30000</v>
      </c>
      <c r="N200" s="3">
        <f t="shared" si="42"/>
        <v>66000</v>
      </c>
      <c r="O200" s="5">
        <v>30000</v>
      </c>
      <c r="P200" s="3">
        <f t="shared" si="43"/>
        <v>66000</v>
      </c>
      <c r="Q200" s="3">
        <f t="shared" si="39"/>
        <v>0</v>
      </c>
      <c r="T200" s="27" t="str">
        <f t="shared" si="29"/>
        <v/>
      </c>
      <c r="U200" s="1" t="str">
        <f t="shared" si="40"/>
        <v/>
      </c>
    </row>
    <row r="201" spans="2:21">
      <c r="B201" s="1">
        <f t="shared" si="41"/>
        <v>197</v>
      </c>
      <c r="C201" s="2">
        <v>46079</v>
      </c>
      <c r="D201" s="2" t="str">
        <f t="shared" si="36"/>
        <v>2026년</v>
      </c>
      <c r="E201" s="1" t="str">
        <f t="shared" si="37"/>
        <v>2월</v>
      </c>
      <c r="F201" s="1" t="str">
        <f t="shared" si="38"/>
        <v>2026년2월</v>
      </c>
      <c r="G201" s="1" t="s">
        <v>332</v>
      </c>
      <c r="H201" s="1" t="str">
        <f>IFERROR((VLOOKUP(G201,Backdata!G:H,2,0)),"")</f>
        <v>503-81-85128</v>
      </c>
      <c r="I201" s="1" t="s">
        <v>9</v>
      </c>
      <c r="J201" s="1" t="s">
        <v>34</v>
      </c>
      <c r="K201" s="1" t="s">
        <v>338</v>
      </c>
      <c r="L201" s="1">
        <v>2</v>
      </c>
      <c r="M201" s="5">
        <v>10000</v>
      </c>
      <c r="N201" s="3">
        <f t="shared" si="42"/>
        <v>22000</v>
      </c>
      <c r="O201" s="5">
        <v>10000</v>
      </c>
      <c r="P201" s="3">
        <f t="shared" si="43"/>
        <v>22000</v>
      </c>
      <c r="Q201" s="3">
        <f t="shared" si="39"/>
        <v>0</v>
      </c>
      <c r="T201" s="27" t="str">
        <f t="shared" si="29"/>
        <v/>
      </c>
      <c r="U201" s="1" t="str">
        <f t="shared" si="40"/>
        <v/>
      </c>
    </row>
    <row r="202" spans="2:21">
      <c r="B202" s="1">
        <f t="shared" si="41"/>
        <v>198</v>
      </c>
      <c r="C202" s="2">
        <v>46094</v>
      </c>
      <c r="D202" s="2" t="str">
        <f t="shared" si="36"/>
        <v>2026년</v>
      </c>
      <c r="E202" s="1" t="str">
        <f t="shared" si="37"/>
        <v>3월</v>
      </c>
      <c r="F202" s="1" t="str">
        <f t="shared" si="38"/>
        <v>2026년3월</v>
      </c>
      <c r="G202" s="1" t="s">
        <v>323</v>
      </c>
      <c r="H202" s="1" t="str">
        <f>IFERROR((VLOOKUP(G202,Backdata!G:H,2,0)),"")</f>
        <v>428-86-01083</v>
      </c>
      <c r="I202" s="1" t="s">
        <v>9</v>
      </c>
      <c r="J202" s="1" t="s">
        <v>60</v>
      </c>
      <c r="K202" s="1" t="s">
        <v>347</v>
      </c>
      <c r="L202" s="1">
        <v>2</v>
      </c>
      <c r="M202" s="5">
        <v>900000</v>
      </c>
      <c r="N202" s="3">
        <f t="shared" si="42"/>
        <v>1980000.0000000002</v>
      </c>
      <c r="O202" s="5"/>
      <c r="P202" s="3">
        <f t="shared" si="43"/>
        <v>0</v>
      </c>
      <c r="Q202" s="3">
        <f t="shared" si="39"/>
        <v>1980000.0000000002</v>
      </c>
      <c r="R202" s="1" t="s">
        <v>19</v>
      </c>
      <c r="T202" s="27">
        <v>46094</v>
      </c>
      <c r="U202" s="1" t="str">
        <f t="shared" si="40"/>
        <v>완료</v>
      </c>
    </row>
    <row r="203" spans="2:21" hidden="1">
      <c r="B203" s="1">
        <f t="shared" si="41"/>
        <v>199</v>
      </c>
      <c r="C203" s="2">
        <v>46086</v>
      </c>
      <c r="D203" s="2" t="str">
        <f t="shared" si="36"/>
        <v>2026년</v>
      </c>
      <c r="E203" s="1" t="str">
        <f t="shared" si="37"/>
        <v>3월</v>
      </c>
      <c r="F203" s="1" t="str">
        <f t="shared" si="38"/>
        <v>2026년3월</v>
      </c>
      <c r="G203" s="1" t="s">
        <v>346</v>
      </c>
      <c r="H203" s="1" t="str">
        <f>IFERROR((VLOOKUP(G203,Backdata!G:H,2,0)),"")</f>
        <v>318-81-11047</v>
      </c>
      <c r="I203" s="1" t="s">
        <v>28</v>
      </c>
      <c r="J203" s="1" t="s">
        <v>53</v>
      </c>
      <c r="K203" s="1" t="s">
        <v>52</v>
      </c>
      <c r="L203" s="1">
        <v>1</v>
      </c>
      <c r="M203" s="5">
        <v>630000</v>
      </c>
      <c r="N203" s="3">
        <f t="shared" si="42"/>
        <v>693000</v>
      </c>
      <c r="O203" s="5"/>
      <c r="P203" s="3">
        <f t="shared" si="43"/>
        <v>0</v>
      </c>
      <c r="Q203" s="3">
        <f t="shared" si="39"/>
        <v>693000</v>
      </c>
      <c r="R203" s="1" t="s">
        <v>19</v>
      </c>
      <c r="T203" s="27">
        <f t="shared" si="29"/>
        <v>46086</v>
      </c>
      <c r="U203" s="1" t="str">
        <f t="shared" si="40"/>
        <v>완료</v>
      </c>
    </row>
    <row r="204" spans="2:21" hidden="1">
      <c r="B204" s="1">
        <f t="shared" si="41"/>
        <v>200</v>
      </c>
      <c r="C204" s="2"/>
      <c r="D204" s="2" t="str">
        <f t="shared" si="36"/>
        <v/>
      </c>
      <c r="E204" s="1" t="str">
        <f t="shared" si="37"/>
        <v/>
      </c>
      <c r="F204" s="1" t="str">
        <f t="shared" si="38"/>
        <v/>
      </c>
      <c r="H204" s="1" t="str">
        <f>IFERROR((VLOOKUP(G204,Backdata!G:H,2,0)),"")</f>
        <v/>
      </c>
      <c r="M204" s="5"/>
      <c r="N204" s="3">
        <f t="shared" si="42"/>
        <v>0</v>
      </c>
      <c r="O204" s="5"/>
      <c r="P204" s="3">
        <f t="shared" si="43"/>
        <v>0</v>
      </c>
      <c r="Q204" s="3">
        <f t="shared" si="39"/>
        <v>0</v>
      </c>
      <c r="T204" s="27" t="str">
        <f t="shared" si="29"/>
        <v/>
      </c>
      <c r="U204" s="1" t="str">
        <f t="shared" si="40"/>
        <v/>
      </c>
    </row>
    <row r="205" spans="2:21" hidden="1">
      <c r="B205" s="1">
        <f t="shared" si="41"/>
        <v>201</v>
      </c>
      <c r="C205" s="2"/>
      <c r="D205" s="2" t="str">
        <f t="shared" si="36"/>
        <v/>
      </c>
      <c r="E205" s="1" t="str">
        <f t="shared" si="37"/>
        <v/>
      </c>
      <c r="F205" s="1" t="str">
        <f t="shared" si="38"/>
        <v/>
      </c>
      <c r="H205" s="1" t="str">
        <f>IFERROR((VLOOKUP(G205,Backdata!G:H,2,0)),"")</f>
        <v/>
      </c>
      <c r="M205" s="5"/>
      <c r="N205" s="3">
        <f t="shared" si="42"/>
        <v>0</v>
      </c>
      <c r="O205" s="5"/>
      <c r="P205" s="3">
        <f t="shared" si="43"/>
        <v>0</v>
      </c>
      <c r="Q205" s="3">
        <f t="shared" si="39"/>
        <v>0</v>
      </c>
      <c r="T205" s="27" t="str">
        <f t="shared" si="29"/>
        <v/>
      </c>
      <c r="U205" s="1" t="str">
        <f t="shared" si="40"/>
        <v/>
      </c>
    </row>
    <row r="206" spans="2:21" hidden="1">
      <c r="B206" s="1">
        <f t="shared" si="41"/>
        <v>202</v>
      </c>
      <c r="C206" s="2"/>
      <c r="D206" s="2" t="str">
        <f t="shared" si="36"/>
        <v/>
      </c>
      <c r="E206" s="1" t="str">
        <f t="shared" si="37"/>
        <v/>
      </c>
      <c r="F206" s="1" t="str">
        <f t="shared" si="38"/>
        <v/>
      </c>
      <c r="H206" s="1" t="str">
        <f>IFERROR((VLOOKUP(G206,Backdata!G:H,2,0)),"")</f>
        <v/>
      </c>
      <c r="M206" s="5"/>
      <c r="N206" s="3">
        <f t="shared" si="42"/>
        <v>0</v>
      </c>
      <c r="O206" s="5"/>
      <c r="P206" s="3">
        <f t="shared" si="43"/>
        <v>0</v>
      </c>
      <c r="Q206" s="3">
        <f t="shared" si="39"/>
        <v>0</v>
      </c>
      <c r="T206" s="27" t="str">
        <f t="shared" si="29"/>
        <v/>
      </c>
      <c r="U206" s="1" t="str">
        <f t="shared" si="40"/>
        <v/>
      </c>
    </row>
    <row r="207" spans="2:21" hidden="1">
      <c r="B207" s="1">
        <f t="shared" si="41"/>
        <v>203</v>
      </c>
      <c r="C207" s="2"/>
      <c r="D207" s="2" t="str">
        <f t="shared" si="36"/>
        <v/>
      </c>
      <c r="E207" s="1" t="str">
        <f t="shared" si="37"/>
        <v/>
      </c>
      <c r="F207" s="1" t="str">
        <f t="shared" si="38"/>
        <v/>
      </c>
      <c r="H207" s="1" t="str">
        <f>IFERROR((VLOOKUP(G207,Backdata!G:H,2,0)),"")</f>
        <v/>
      </c>
      <c r="M207" s="5"/>
      <c r="N207" s="3">
        <f t="shared" si="42"/>
        <v>0</v>
      </c>
      <c r="O207" s="5"/>
      <c r="P207" s="3">
        <f t="shared" si="43"/>
        <v>0</v>
      </c>
      <c r="Q207" s="3">
        <f t="shared" si="39"/>
        <v>0</v>
      </c>
      <c r="T207" s="27" t="str">
        <f t="shared" si="29"/>
        <v/>
      </c>
      <c r="U207" s="1" t="str">
        <f t="shared" si="40"/>
        <v/>
      </c>
    </row>
    <row r="208" spans="2:21" hidden="1">
      <c r="B208" s="1">
        <f t="shared" si="41"/>
        <v>204</v>
      </c>
      <c r="C208" s="2"/>
      <c r="D208" s="2" t="str">
        <f t="shared" si="36"/>
        <v/>
      </c>
      <c r="E208" s="1" t="str">
        <f t="shared" si="37"/>
        <v/>
      </c>
      <c r="F208" s="1" t="str">
        <f t="shared" si="38"/>
        <v/>
      </c>
      <c r="H208" s="1" t="str">
        <f>IFERROR((VLOOKUP(G208,Backdata!G:H,2,0)),"")</f>
        <v/>
      </c>
      <c r="M208" s="5"/>
      <c r="N208" s="3">
        <f t="shared" si="42"/>
        <v>0</v>
      </c>
      <c r="O208" s="5"/>
      <c r="P208" s="3">
        <f t="shared" si="43"/>
        <v>0</v>
      </c>
      <c r="Q208" s="3">
        <f t="shared" si="39"/>
        <v>0</v>
      </c>
      <c r="T208" s="27" t="str">
        <f t="shared" si="29"/>
        <v/>
      </c>
      <c r="U208" s="1" t="str">
        <f t="shared" si="40"/>
        <v/>
      </c>
    </row>
    <row r="209" spans="2:21" hidden="1">
      <c r="B209" s="1">
        <f t="shared" si="41"/>
        <v>205</v>
      </c>
      <c r="C209" s="2"/>
      <c r="D209" s="2" t="str">
        <f t="shared" si="36"/>
        <v/>
      </c>
      <c r="E209" s="1" t="str">
        <f t="shared" si="37"/>
        <v/>
      </c>
      <c r="F209" s="1" t="str">
        <f t="shared" si="38"/>
        <v/>
      </c>
      <c r="H209" s="1" t="str">
        <f>IFERROR((VLOOKUP(G209,Backdata!G:H,2,0)),"")</f>
        <v/>
      </c>
      <c r="M209" s="5"/>
      <c r="N209" s="3">
        <f t="shared" si="42"/>
        <v>0</v>
      </c>
      <c r="O209" s="5"/>
      <c r="P209" s="3">
        <f t="shared" si="43"/>
        <v>0</v>
      </c>
      <c r="Q209" s="3">
        <f t="shared" si="39"/>
        <v>0</v>
      </c>
      <c r="T209" s="27" t="str">
        <f t="shared" si="29"/>
        <v/>
      </c>
      <c r="U209" s="1" t="str">
        <f t="shared" si="40"/>
        <v/>
      </c>
    </row>
    <row r="210" spans="2:21" hidden="1">
      <c r="B210" s="1">
        <f t="shared" si="41"/>
        <v>206</v>
      </c>
      <c r="C210" s="2"/>
      <c r="D210" s="2" t="str">
        <f t="shared" si="36"/>
        <v/>
      </c>
      <c r="E210" s="1" t="str">
        <f t="shared" si="37"/>
        <v/>
      </c>
      <c r="F210" s="1" t="str">
        <f t="shared" si="38"/>
        <v/>
      </c>
      <c r="H210" s="1" t="str">
        <f>IFERROR((VLOOKUP(G210,Backdata!G:H,2,0)),"")</f>
        <v/>
      </c>
      <c r="M210" s="5"/>
      <c r="N210" s="3">
        <f t="shared" si="42"/>
        <v>0</v>
      </c>
      <c r="O210" s="5"/>
      <c r="P210" s="3">
        <f t="shared" si="43"/>
        <v>0</v>
      </c>
      <c r="Q210" s="3">
        <f t="shared" si="39"/>
        <v>0</v>
      </c>
      <c r="T210" s="27" t="str">
        <f t="shared" si="29"/>
        <v/>
      </c>
      <c r="U210" s="1" t="str">
        <f t="shared" si="40"/>
        <v/>
      </c>
    </row>
    <row r="211" spans="2:21" hidden="1">
      <c r="B211" s="1">
        <f t="shared" si="41"/>
        <v>207</v>
      </c>
      <c r="C211" s="2"/>
      <c r="D211" s="2" t="str">
        <f t="shared" si="36"/>
        <v/>
      </c>
      <c r="E211" s="1" t="str">
        <f t="shared" si="37"/>
        <v/>
      </c>
      <c r="F211" s="1" t="str">
        <f t="shared" si="38"/>
        <v/>
      </c>
      <c r="H211" s="1" t="str">
        <f>IFERROR((VLOOKUP(G211,Backdata!G:H,2,0)),"")</f>
        <v/>
      </c>
      <c r="M211" s="5"/>
      <c r="N211" s="3">
        <f t="shared" si="42"/>
        <v>0</v>
      </c>
      <c r="O211" s="5"/>
      <c r="P211" s="3">
        <f t="shared" si="43"/>
        <v>0</v>
      </c>
      <c r="Q211" s="3">
        <f t="shared" si="39"/>
        <v>0</v>
      </c>
      <c r="T211" s="27" t="str">
        <f t="shared" si="29"/>
        <v/>
      </c>
      <c r="U211" s="1" t="str">
        <f t="shared" si="40"/>
        <v/>
      </c>
    </row>
    <row r="212" spans="2:21" hidden="1">
      <c r="B212" s="1">
        <f t="shared" si="41"/>
        <v>208</v>
      </c>
      <c r="C212" s="2"/>
      <c r="D212" s="2" t="str">
        <f t="shared" si="36"/>
        <v/>
      </c>
      <c r="E212" s="1" t="str">
        <f t="shared" si="37"/>
        <v/>
      </c>
      <c r="F212" s="1" t="str">
        <f t="shared" si="38"/>
        <v/>
      </c>
      <c r="H212" s="1" t="str">
        <f>IFERROR((VLOOKUP(G212,Backdata!G:H,2,0)),"")</f>
        <v/>
      </c>
      <c r="M212" s="5"/>
      <c r="N212" s="3">
        <f t="shared" si="42"/>
        <v>0</v>
      </c>
      <c r="O212" s="5"/>
      <c r="P212" s="3">
        <f t="shared" si="43"/>
        <v>0</v>
      </c>
      <c r="Q212" s="3">
        <f t="shared" si="39"/>
        <v>0</v>
      </c>
      <c r="T212" s="27" t="str">
        <f t="shared" si="29"/>
        <v/>
      </c>
      <c r="U212" s="1" t="str">
        <f t="shared" si="40"/>
        <v/>
      </c>
    </row>
    <row r="213" spans="2:21" hidden="1">
      <c r="B213" s="1">
        <f t="shared" si="41"/>
        <v>209</v>
      </c>
      <c r="C213" s="2"/>
      <c r="D213" s="2" t="str">
        <f t="shared" si="36"/>
        <v/>
      </c>
      <c r="E213" s="1" t="str">
        <f t="shared" si="37"/>
        <v/>
      </c>
      <c r="F213" s="1" t="str">
        <f t="shared" si="38"/>
        <v/>
      </c>
      <c r="H213" s="1" t="str">
        <f>IFERROR((VLOOKUP(G213,Backdata!G:H,2,0)),"")</f>
        <v/>
      </c>
      <c r="M213" s="5"/>
      <c r="N213" s="3">
        <f t="shared" si="42"/>
        <v>0</v>
      </c>
      <c r="O213" s="5"/>
      <c r="P213" s="3">
        <f t="shared" si="43"/>
        <v>0</v>
      </c>
      <c r="Q213" s="3">
        <f t="shared" si="39"/>
        <v>0</v>
      </c>
      <c r="T213" s="27" t="str">
        <f t="shared" si="29"/>
        <v/>
      </c>
      <c r="U213" s="1" t="str">
        <f t="shared" si="40"/>
        <v/>
      </c>
    </row>
    <row r="214" spans="2:21" hidden="1">
      <c r="B214" s="1">
        <f t="shared" si="41"/>
        <v>210</v>
      </c>
      <c r="C214" s="2"/>
      <c r="D214" s="2" t="str">
        <f t="shared" si="36"/>
        <v/>
      </c>
      <c r="E214" s="1" t="str">
        <f t="shared" si="37"/>
        <v/>
      </c>
      <c r="F214" s="1" t="str">
        <f t="shared" si="38"/>
        <v/>
      </c>
      <c r="H214" s="1" t="str">
        <f>IFERROR((VLOOKUP(G214,Backdata!G:H,2,0)),"")</f>
        <v/>
      </c>
      <c r="M214" s="5"/>
      <c r="N214" s="3">
        <f t="shared" si="42"/>
        <v>0</v>
      </c>
      <c r="O214" s="5"/>
      <c r="P214" s="3">
        <f t="shared" si="43"/>
        <v>0</v>
      </c>
      <c r="Q214" s="3">
        <f t="shared" si="39"/>
        <v>0</v>
      </c>
      <c r="T214" s="27" t="str">
        <f t="shared" si="29"/>
        <v/>
      </c>
      <c r="U214" s="1" t="str">
        <f t="shared" si="40"/>
        <v/>
      </c>
    </row>
    <row r="215" spans="2:21" hidden="1">
      <c r="B215" s="1">
        <f t="shared" si="41"/>
        <v>211</v>
      </c>
      <c r="C215" s="2"/>
      <c r="D215" s="2" t="str">
        <f t="shared" si="36"/>
        <v/>
      </c>
      <c r="E215" s="1" t="str">
        <f t="shared" si="37"/>
        <v/>
      </c>
      <c r="F215" s="1" t="str">
        <f t="shared" si="38"/>
        <v/>
      </c>
      <c r="H215" s="1" t="str">
        <f>IFERROR((VLOOKUP(G215,Backdata!G:H,2,0)),"")</f>
        <v/>
      </c>
      <c r="M215" s="5"/>
      <c r="N215" s="3">
        <f t="shared" si="42"/>
        <v>0</v>
      </c>
      <c r="O215" s="5"/>
      <c r="P215" s="3">
        <f t="shared" si="43"/>
        <v>0</v>
      </c>
      <c r="Q215" s="3">
        <f t="shared" si="39"/>
        <v>0</v>
      </c>
      <c r="T215" s="27" t="str">
        <f t="shared" si="29"/>
        <v/>
      </c>
      <c r="U215" s="1" t="str">
        <f t="shared" si="40"/>
        <v/>
      </c>
    </row>
    <row r="216" spans="2:21" hidden="1">
      <c r="B216" s="1">
        <f t="shared" si="41"/>
        <v>212</v>
      </c>
      <c r="C216" s="2"/>
      <c r="D216" s="2" t="str">
        <f t="shared" si="36"/>
        <v/>
      </c>
      <c r="E216" s="1" t="str">
        <f t="shared" si="37"/>
        <v/>
      </c>
      <c r="F216" s="1" t="str">
        <f t="shared" si="38"/>
        <v/>
      </c>
      <c r="H216" s="1" t="str">
        <f>IFERROR((VLOOKUP(G216,Backdata!G:H,2,0)),"")</f>
        <v/>
      </c>
      <c r="M216" s="5"/>
      <c r="N216" s="3">
        <f t="shared" si="42"/>
        <v>0</v>
      </c>
      <c r="O216" s="5"/>
      <c r="P216" s="3">
        <f t="shared" si="43"/>
        <v>0</v>
      </c>
      <c r="Q216" s="3">
        <f t="shared" si="39"/>
        <v>0</v>
      </c>
      <c r="T216" s="27" t="str">
        <f t="shared" si="29"/>
        <v/>
      </c>
      <c r="U216" s="1" t="str">
        <f t="shared" si="40"/>
        <v/>
      </c>
    </row>
    <row r="217" spans="2:21" hidden="1">
      <c r="B217" s="1">
        <f t="shared" si="41"/>
        <v>213</v>
      </c>
      <c r="C217" s="2"/>
      <c r="D217" s="2" t="str">
        <f t="shared" si="36"/>
        <v/>
      </c>
      <c r="E217" s="1" t="str">
        <f t="shared" si="37"/>
        <v/>
      </c>
      <c r="F217" s="1" t="str">
        <f t="shared" si="38"/>
        <v/>
      </c>
      <c r="H217" s="1" t="str">
        <f>IFERROR((VLOOKUP(G217,Backdata!G:H,2,0)),"")</f>
        <v/>
      </c>
      <c r="M217" s="5"/>
      <c r="N217" s="3">
        <f t="shared" si="42"/>
        <v>0</v>
      </c>
      <c r="O217" s="5"/>
      <c r="P217" s="3">
        <f t="shared" si="43"/>
        <v>0</v>
      </c>
      <c r="Q217" s="3">
        <f t="shared" si="39"/>
        <v>0</v>
      </c>
      <c r="T217" s="27" t="str">
        <f t="shared" si="29"/>
        <v/>
      </c>
      <c r="U217" s="1" t="str">
        <f t="shared" si="40"/>
        <v/>
      </c>
    </row>
    <row r="218" spans="2:21" hidden="1">
      <c r="B218" s="1">
        <f t="shared" si="41"/>
        <v>214</v>
      </c>
      <c r="C218" s="2"/>
      <c r="D218" s="2" t="str">
        <f t="shared" si="36"/>
        <v/>
      </c>
      <c r="E218" s="1" t="str">
        <f t="shared" si="37"/>
        <v/>
      </c>
      <c r="F218" s="1" t="str">
        <f t="shared" si="38"/>
        <v/>
      </c>
      <c r="H218" s="1" t="str">
        <f>IFERROR((VLOOKUP(G218,Backdata!G:H,2,0)),"")</f>
        <v/>
      </c>
      <c r="M218" s="5"/>
      <c r="N218" s="3">
        <f t="shared" si="42"/>
        <v>0</v>
      </c>
      <c r="O218" s="5"/>
      <c r="P218" s="3">
        <f t="shared" si="43"/>
        <v>0</v>
      </c>
      <c r="Q218" s="3">
        <f t="shared" si="39"/>
        <v>0</v>
      </c>
      <c r="T218" s="27" t="str">
        <f t="shared" si="29"/>
        <v/>
      </c>
      <c r="U218" s="1" t="str">
        <f t="shared" si="40"/>
        <v/>
      </c>
    </row>
    <row r="219" spans="2:21" hidden="1">
      <c r="B219" s="1">
        <f t="shared" si="41"/>
        <v>215</v>
      </c>
      <c r="C219" s="2"/>
      <c r="D219" s="2" t="str">
        <f t="shared" si="36"/>
        <v/>
      </c>
      <c r="E219" s="1" t="str">
        <f t="shared" si="37"/>
        <v/>
      </c>
      <c r="F219" s="1" t="str">
        <f t="shared" si="38"/>
        <v/>
      </c>
      <c r="H219" s="1" t="str">
        <f>IFERROR((VLOOKUP(G219,Backdata!G:H,2,0)),"")</f>
        <v/>
      </c>
      <c r="M219" s="5"/>
      <c r="N219" s="3">
        <f t="shared" si="42"/>
        <v>0</v>
      </c>
      <c r="O219" s="5"/>
      <c r="P219" s="3">
        <f t="shared" si="43"/>
        <v>0</v>
      </c>
      <c r="Q219" s="3">
        <f t="shared" si="39"/>
        <v>0</v>
      </c>
      <c r="T219" s="27" t="str">
        <f t="shared" si="29"/>
        <v/>
      </c>
      <c r="U219" s="1" t="str">
        <f t="shared" si="40"/>
        <v/>
      </c>
    </row>
    <row r="220" spans="2:21" hidden="1">
      <c r="B220" s="1">
        <f t="shared" si="41"/>
        <v>216</v>
      </c>
      <c r="C220" s="2"/>
      <c r="D220" s="2" t="str">
        <f t="shared" si="36"/>
        <v/>
      </c>
      <c r="E220" s="1" t="str">
        <f t="shared" si="37"/>
        <v/>
      </c>
      <c r="F220" s="1" t="str">
        <f t="shared" si="38"/>
        <v/>
      </c>
      <c r="H220" s="1" t="str">
        <f>IFERROR((VLOOKUP(G220,Backdata!G:H,2,0)),"")</f>
        <v/>
      </c>
      <c r="M220" s="5"/>
      <c r="N220" s="3">
        <f t="shared" si="42"/>
        <v>0</v>
      </c>
      <c r="O220" s="5"/>
      <c r="P220" s="3">
        <f t="shared" si="43"/>
        <v>0</v>
      </c>
      <c r="Q220" s="3">
        <f t="shared" si="39"/>
        <v>0</v>
      </c>
      <c r="T220" s="27" t="str">
        <f t="shared" si="29"/>
        <v/>
      </c>
      <c r="U220" s="1" t="str">
        <f t="shared" si="40"/>
        <v/>
      </c>
    </row>
    <row r="221" spans="2:21" hidden="1">
      <c r="B221" s="1">
        <f t="shared" si="41"/>
        <v>217</v>
      </c>
      <c r="C221" s="2"/>
      <c r="D221" s="2" t="str">
        <f t="shared" si="36"/>
        <v/>
      </c>
      <c r="E221" s="1" t="str">
        <f t="shared" si="37"/>
        <v/>
      </c>
      <c r="F221" s="1" t="str">
        <f t="shared" si="38"/>
        <v/>
      </c>
      <c r="H221" s="1" t="str">
        <f>IFERROR((VLOOKUP(G221,Backdata!G:H,2,0)),"")</f>
        <v/>
      </c>
      <c r="M221" s="5"/>
      <c r="N221" s="3">
        <f t="shared" si="42"/>
        <v>0</v>
      </c>
      <c r="O221" s="5"/>
      <c r="P221" s="3">
        <f t="shared" si="43"/>
        <v>0</v>
      </c>
      <c r="Q221" s="3">
        <f t="shared" si="39"/>
        <v>0</v>
      </c>
      <c r="T221" s="27" t="str">
        <f t="shared" si="29"/>
        <v/>
      </c>
      <c r="U221" s="1" t="str">
        <f t="shared" si="40"/>
        <v/>
      </c>
    </row>
    <row r="222" spans="2:21" hidden="1">
      <c r="B222" s="1">
        <f t="shared" si="41"/>
        <v>218</v>
      </c>
      <c r="C222" s="2"/>
      <c r="D222" s="2" t="str">
        <f t="shared" si="36"/>
        <v/>
      </c>
      <c r="E222" s="1" t="str">
        <f t="shared" si="37"/>
        <v/>
      </c>
      <c r="F222" s="1" t="str">
        <f t="shared" si="38"/>
        <v/>
      </c>
      <c r="H222" s="1" t="str">
        <f>IFERROR((VLOOKUP(G222,Backdata!G:H,2,0)),"")</f>
        <v/>
      </c>
      <c r="M222" s="5"/>
      <c r="N222" s="3">
        <f t="shared" si="42"/>
        <v>0</v>
      </c>
      <c r="O222" s="5"/>
      <c r="P222" s="3">
        <f t="shared" si="43"/>
        <v>0</v>
      </c>
      <c r="Q222" s="3">
        <f t="shared" si="39"/>
        <v>0</v>
      </c>
      <c r="T222" s="27" t="str">
        <f t="shared" si="29"/>
        <v/>
      </c>
      <c r="U222" s="1" t="str">
        <f t="shared" si="40"/>
        <v/>
      </c>
    </row>
    <row r="223" spans="2:21" hidden="1">
      <c r="B223" s="1">
        <f t="shared" si="41"/>
        <v>219</v>
      </c>
      <c r="C223" s="2"/>
      <c r="D223" s="2" t="str">
        <f t="shared" si="36"/>
        <v/>
      </c>
      <c r="E223" s="1" t="str">
        <f t="shared" si="37"/>
        <v/>
      </c>
      <c r="F223" s="1" t="str">
        <f t="shared" si="38"/>
        <v/>
      </c>
      <c r="H223" s="1" t="str">
        <f>IFERROR((VLOOKUP(G223,Backdata!G:H,2,0)),"")</f>
        <v/>
      </c>
      <c r="M223" s="5"/>
      <c r="N223" s="3">
        <f t="shared" si="42"/>
        <v>0</v>
      </c>
      <c r="O223" s="5"/>
      <c r="P223" s="3">
        <f t="shared" si="43"/>
        <v>0</v>
      </c>
      <c r="Q223" s="3">
        <f t="shared" si="39"/>
        <v>0</v>
      </c>
      <c r="T223" s="27" t="str">
        <f t="shared" si="29"/>
        <v/>
      </c>
      <c r="U223" s="1" t="str">
        <f t="shared" si="40"/>
        <v/>
      </c>
    </row>
    <row r="224" spans="2:21" hidden="1">
      <c r="B224" s="1">
        <f t="shared" si="41"/>
        <v>220</v>
      </c>
      <c r="C224" s="2"/>
      <c r="D224" s="2" t="str">
        <f t="shared" si="36"/>
        <v/>
      </c>
      <c r="E224" s="1" t="str">
        <f t="shared" si="37"/>
        <v/>
      </c>
      <c r="F224" s="1" t="str">
        <f t="shared" si="38"/>
        <v/>
      </c>
      <c r="H224" s="1" t="str">
        <f>IFERROR((VLOOKUP(G224,Backdata!G:H,2,0)),"")</f>
        <v/>
      </c>
      <c r="M224" s="5"/>
      <c r="N224" s="3">
        <f t="shared" si="42"/>
        <v>0</v>
      </c>
      <c r="O224" s="5"/>
      <c r="P224" s="3">
        <f t="shared" si="43"/>
        <v>0</v>
      </c>
      <c r="Q224" s="3">
        <f t="shared" si="39"/>
        <v>0</v>
      </c>
      <c r="T224" s="27" t="str">
        <f t="shared" si="29"/>
        <v/>
      </c>
      <c r="U224" s="1" t="str">
        <f t="shared" si="40"/>
        <v/>
      </c>
    </row>
    <row r="225" spans="2:21" hidden="1">
      <c r="B225" s="1">
        <f t="shared" si="41"/>
        <v>221</v>
      </c>
      <c r="C225" s="2"/>
      <c r="D225" s="2" t="str">
        <f t="shared" si="36"/>
        <v/>
      </c>
      <c r="E225" s="1" t="str">
        <f t="shared" si="37"/>
        <v/>
      </c>
      <c r="F225" s="1" t="str">
        <f t="shared" si="38"/>
        <v/>
      </c>
      <c r="H225" s="1" t="str">
        <f>IFERROR((VLOOKUP(G225,Backdata!G:H,2,0)),"")</f>
        <v/>
      </c>
      <c r="M225" s="5"/>
      <c r="N225" s="3">
        <f t="shared" si="42"/>
        <v>0</v>
      </c>
      <c r="O225" s="5"/>
      <c r="P225" s="3">
        <f t="shared" si="43"/>
        <v>0</v>
      </c>
      <c r="Q225" s="3">
        <f t="shared" si="39"/>
        <v>0</v>
      </c>
      <c r="T225" s="27" t="str">
        <f t="shared" si="29"/>
        <v/>
      </c>
      <c r="U225" s="1" t="str">
        <f t="shared" si="40"/>
        <v/>
      </c>
    </row>
    <row r="226" spans="2:21" hidden="1">
      <c r="B226" s="1">
        <f t="shared" si="41"/>
        <v>222</v>
      </c>
      <c r="C226" s="2"/>
      <c r="D226" s="2" t="str">
        <f t="shared" si="36"/>
        <v/>
      </c>
      <c r="E226" s="1" t="str">
        <f t="shared" si="37"/>
        <v/>
      </c>
      <c r="F226" s="1" t="str">
        <f t="shared" si="38"/>
        <v/>
      </c>
      <c r="H226" s="1" t="str">
        <f>IFERROR((VLOOKUP(G226,Backdata!G:H,2,0)),"")</f>
        <v/>
      </c>
      <c r="M226" s="5"/>
      <c r="N226" s="3">
        <f t="shared" si="42"/>
        <v>0</v>
      </c>
      <c r="O226" s="5"/>
      <c r="P226" s="3">
        <f t="shared" si="43"/>
        <v>0</v>
      </c>
      <c r="Q226" s="3">
        <f t="shared" si="39"/>
        <v>0</v>
      </c>
      <c r="T226" s="27" t="str">
        <f t="shared" si="29"/>
        <v/>
      </c>
      <c r="U226" s="1" t="str">
        <f t="shared" si="40"/>
        <v/>
      </c>
    </row>
    <row r="227" spans="2:21" hidden="1">
      <c r="B227" s="1">
        <f t="shared" si="41"/>
        <v>223</v>
      </c>
      <c r="C227" s="2"/>
      <c r="D227" s="2" t="str">
        <f t="shared" si="36"/>
        <v/>
      </c>
      <c r="E227" s="1" t="str">
        <f t="shared" si="37"/>
        <v/>
      </c>
      <c r="F227" s="1" t="str">
        <f t="shared" si="38"/>
        <v/>
      </c>
      <c r="H227" s="1" t="str">
        <f>IFERROR((VLOOKUP(G227,Backdata!G:H,2,0)),"")</f>
        <v/>
      </c>
      <c r="M227" s="5"/>
      <c r="N227" s="3">
        <f t="shared" si="42"/>
        <v>0</v>
      </c>
      <c r="O227" s="5"/>
      <c r="P227" s="3">
        <f t="shared" si="43"/>
        <v>0</v>
      </c>
      <c r="Q227" s="3">
        <f t="shared" si="39"/>
        <v>0</v>
      </c>
      <c r="T227" s="27" t="str">
        <f t="shared" si="29"/>
        <v/>
      </c>
      <c r="U227" s="1" t="str">
        <f t="shared" si="40"/>
        <v/>
      </c>
    </row>
    <row r="228" spans="2:21" hidden="1">
      <c r="B228" s="1">
        <f t="shared" si="41"/>
        <v>224</v>
      </c>
      <c r="C228" s="2"/>
      <c r="D228" s="2" t="str">
        <f t="shared" si="36"/>
        <v/>
      </c>
      <c r="E228" s="1" t="str">
        <f t="shared" si="37"/>
        <v/>
      </c>
      <c r="F228" s="1" t="str">
        <f t="shared" si="38"/>
        <v/>
      </c>
      <c r="H228" s="1" t="str">
        <f>IFERROR((VLOOKUP(G228,Backdata!G:H,2,0)),"")</f>
        <v/>
      </c>
      <c r="M228" s="5"/>
      <c r="N228" s="3">
        <f t="shared" si="42"/>
        <v>0</v>
      </c>
      <c r="O228" s="5"/>
      <c r="P228" s="3">
        <f t="shared" si="43"/>
        <v>0</v>
      </c>
      <c r="Q228" s="3">
        <f t="shared" si="39"/>
        <v>0</v>
      </c>
      <c r="T228" s="27" t="str">
        <f t="shared" si="29"/>
        <v/>
      </c>
      <c r="U228" s="1" t="str">
        <f t="shared" si="40"/>
        <v/>
      </c>
    </row>
    <row r="229" spans="2:21" hidden="1">
      <c r="B229" s="1">
        <f t="shared" si="41"/>
        <v>225</v>
      </c>
      <c r="C229" s="2"/>
      <c r="D229" s="2" t="str">
        <f t="shared" si="36"/>
        <v/>
      </c>
      <c r="E229" s="1" t="str">
        <f t="shared" si="37"/>
        <v/>
      </c>
      <c r="F229" s="1" t="str">
        <f t="shared" si="38"/>
        <v/>
      </c>
      <c r="H229" s="1" t="str">
        <f>IFERROR((VLOOKUP(G229,Backdata!G:H,2,0)),"")</f>
        <v/>
      </c>
      <c r="M229" s="5"/>
      <c r="N229" s="3">
        <f t="shared" si="42"/>
        <v>0</v>
      </c>
      <c r="O229" s="5"/>
      <c r="P229" s="3">
        <f t="shared" si="43"/>
        <v>0</v>
      </c>
      <c r="Q229" s="3">
        <f t="shared" si="39"/>
        <v>0</v>
      </c>
      <c r="T229" s="27" t="str">
        <f t="shared" si="29"/>
        <v/>
      </c>
      <c r="U229" s="1" t="str">
        <f t="shared" si="40"/>
        <v/>
      </c>
    </row>
    <row r="230" spans="2:21" hidden="1">
      <c r="B230" s="1">
        <f t="shared" si="41"/>
        <v>226</v>
      </c>
      <c r="C230" s="2"/>
      <c r="D230" s="2" t="str">
        <f t="shared" si="36"/>
        <v/>
      </c>
      <c r="E230" s="1" t="str">
        <f t="shared" si="37"/>
        <v/>
      </c>
      <c r="F230" s="1" t="str">
        <f t="shared" si="38"/>
        <v/>
      </c>
      <c r="H230" s="1" t="str">
        <f>IFERROR((VLOOKUP(G230,Backdata!G:H,2,0)),"")</f>
        <v/>
      </c>
      <c r="M230" s="5"/>
      <c r="N230" s="3">
        <f t="shared" si="42"/>
        <v>0</v>
      </c>
      <c r="O230" s="5"/>
      <c r="P230" s="3">
        <f t="shared" si="43"/>
        <v>0</v>
      </c>
      <c r="Q230" s="3">
        <f t="shared" si="39"/>
        <v>0</v>
      </c>
      <c r="T230" s="27" t="str">
        <f t="shared" si="29"/>
        <v/>
      </c>
      <c r="U230" s="1" t="str">
        <f t="shared" si="40"/>
        <v/>
      </c>
    </row>
    <row r="231" spans="2:21" hidden="1">
      <c r="B231" s="1">
        <f t="shared" si="41"/>
        <v>227</v>
      </c>
      <c r="C231" s="2"/>
      <c r="D231" s="2" t="str">
        <f t="shared" si="36"/>
        <v/>
      </c>
      <c r="E231" s="1" t="str">
        <f t="shared" si="37"/>
        <v/>
      </c>
      <c r="F231" s="1" t="str">
        <f t="shared" si="38"/>
        <v/>
      </c>
      <c r="H231" s="1" t="str">
        <f>IFERROR((VLOOKUP(G231,Backdata!G:H,2,0)),"")</f>
        <v/>
      </c>
      <c r="M231" s="5"/>
      <c r="N231" s="3">
        <f t="shared" si="42"/>
        <v>0</v>
      </c>
      <c r="O231" s="5"/>
      <c r="P231" s="3">
        <f t="shared" si="43"/>
        <v>0</v>
      </c>
      <c r="Q231" s="3">
        <f t="shared" si="39"/>
        <v>0</v>
      </c>
      <c r="T231" s="27" t="str">
        <f t="shared" si="29"/>
        <v/>
      </c>
      <c r="U231" s="1" t="str">
        <f t="shared" si="40"/>
        <v/>
      </c>
    </row>
    <row r="232" spans="2:21" hidden="1">
      <c r="B232" s="1">
        <f t="shared" si="41"/>
        <v>228</v>
      </c>
      <c r="C232" s="2"/>
      <c r="D232" s="2" t="str">
        <f t="shared" si="36"/>
        <v/>
      </c>
      <c r="E232" s="1" t="str">
        <f t="shared" si="37"/>
        <v/>
      </c>
      <c r="F232" s="1" t="str">
        <f t="shared" si="38"/>
        <v/>
      </c>
      <c r="H232" s="1" t="str">
        <f>IFERROR((VLOOKUP(G232,Backdata!G:H,2,0)),"")</f>
        <v/>
      </c>
      <c r="M232" s="5"/>
      <c r="N232" s="3">
        <f t="shared" si="42"/>
        <v>0</v>
      </c>
      <c r="O232" s="5"/>
      <c r="P232" s="3">
        <f t="shared" si="43"/>
        <v>0</v>
      </c>
      <c r="Q232" s="3">
        <f t="shared" si="39"/>
        <v>0</v>
      </c>
      <c r="T232" s="27" t="str">
        <f t="shared" si="29"/>
        <v/>
      </c>
      <c r="U232" s="1" t="str">
        <f t="shared" si="40"/>
        <v/>
      </c>
    </row>
    <row r="233" spans="2:21" hidden="1">
      <c r="B233" s="1">
        <f t="shared" si="41"/>
        <v>229</v>
      </c>
      <c r="C233" s="2"/>
      <c r="D233" s="2" t="str">
        <f t="shared" si="36"/>
        <v/>
      </c>
      <c r="E233" s="1" t="str">
        <f t="shared" si="37"/>
        <v/>
      </c>
      <c r="F233" s="1" t="str">
        <f t="shared" si="38"/>
        <v/>
      </c>
      <c r="H233" s="1" t="str">
        <f>IFERROR((VLOOKUP(G233,Backdata!G:H,2,0)),"")</f>
        <v/>
      </c>
      <c r="M233" s="5"/>
      <c r="N233" s="3">
        <f t="shared" si="42"/>
        <v>0</v>
      </c>
      <c r="O233" s="5"/>
      <c r="P233" s="3">
        <f t="shared" si="43"/>
        <v>0</v>
      </c>
      <c r="Q233" s="3">
        <f t="shared" si="39"/>
        <v>0</v>
      </c>
      <c r="T233" s="27" t="str">
        <f t="shared" si="29"/>
        <v/>
      </c>
      <c r="U233" s="1" t="str">
        <f t="shared" si="40"/>
        <v/>
      </c>
    </row>
    <row r="234" spans="2:21" hidden="1">
      <c r="B234" s="1">
        <f t="shared" si="41"/>
        <v>230</v>
      </c>
      <c r="C234" s="2"/>
      <c r="D234" s="2" t="str">
        <f t="shared" si="36"/>
        <v/>
      </c>
      <c r="E234" s="1" t="str">
        <f t="shared" si="37"/>
        <v/>
      </c>
      <c r="F234" s="1" t="str">
        <f t="shared" si="38"/>
        <v/>
      </c>
      <c r="H234" s="1" t="str">
        <f>IFERROR((VLOOKUP(G234,Backdata!G:H,2,0)),"")</f>
        <v/>
      </c>
      <c r="M234" s="5"/>
      <c r="N234" s="3">
        <f t="shared" si="42"/>
        <v>0</v>
      </c>
      <c r="O234" s="5"/>
      <c r="P234" s="3">
        <f t="shared" si="43"/>
        <v>0</v>
      </c>
      <c r="Q234" s="3">
        <f t="shared" si="39"/>
        <v>0</v>
      </c>
      <c r="T234" s="27" t="str">
        <f t="shared" si="29"/>
        <v/>
      </c>
      <c r="U234" s="1" t="str">
        <f t="shared" si="40"/>
        <v/>
      </c>
    </row>
    <row r="235" spans="2:21" hidden="1">
      <c r="B235" s="1">
        <f t="shared" si="41"/>
        <v>231</v>
      </c>
      <c r="C235" s="2"/>
      <c r="D235" s="2" t="str">
        <f t="shared" si="36"/>
        <v/>
      </c>
      <c r="E235" s="1" t="str">
        <f t="shared" si="37"/>
        <v/>
      </c>
      <c r="F235" s="1" t="str">
        <f t="shared" si="38"/>
        <v/>
      </c>
      <c r="H235" s="1" t="str">
        <f>IFERROR((VLOOKUP(G235,Backdata!G:H,2,0)),"")</f>
        <v/>
      </c>
      <c r="M235" s="5"/>
      <c r="N235" s="3">
        <f t="shared" si="42"/>
        <v>0</v>
      </c>
      <c r="O235" s="5"/>
      <c r="P235" s="3">
        <f t="shared" si="43"/>
        <v>0</v>
      </c>
      <c r="Q235" s="3">
        <f t="shared" si="39"/>
        <v>0</v>
      </c>
      <c r="T235" s="27" t="str">
        <f t="shared" si="29"/>
        <v/>
      </c>
      <c r="U235" s="1" t="str">
        <f t="shared" si="40"/>
        <v/>
      </c>
    </row>
    <row r="236" spans="2:21" hidden="1">
      <c r="B236" s="1">
        <f t="shared" si="41"/>
        <v>232</v>
      </c>
      <c r="C236" s="2"/>
      <c r="D236" s="2" t="str">
        <f t="shared" si="36"/>
        <v/>
      </c>
      <c r="E236" s="1" t="str">
        <f t="shared" si="37"/>
        <v/>
      </c>
      <c r="F236" s="1" t="str">
        <f t="shared" si="38"/>
        <v/>
      </c>
      <c r="H236" s="1" t="str">
        <f>IFERROR((VLOOKUP(G236,Backdata!G:H,2,0)),"")</f>
        <v/>
      </c>
      <c r="M236" s="5"/>
      <c r="N236" s="3">
        <f t="shared" si="42"/>
        <v>0</v>
      </c>
      <c r="O236" s="5"/>
      <c r="P236" s="3">
        <f t="shared" si="43"/>
        <v>0</v>
      </c>
      <c r="Q236" s="3">
        <f t="shared" si="39"/>
        <v>0</v>
      </c>
      <c r="T236" s="27" t="str">
        <f t="shared" si="29"/>
        <v/>
      </c>
      <c r="U236" s="1" t="str">
        <f t="shared" si="40"/>
        <v/>
      </c>
    </row>
    <row r="237" spans="2:21" hidden="1">
      <c r="B237" s="1">
        <f t="shared" si="41"/>
        <v>233</v>
      </c>
      <c r="C237" s="2"/>
      <c r="D237" s="2" t="str">
        <f t="shared" si="36"/>
        <v/>
      </c>
      <c r="E237" s="1" t="str">
        <f t="shared" si="37"/>
        <v/>
      </c>
      <c r="F237" s="1" t="str">
        <f t="shared" si="38"/>
        <v/>
      </c>
      <c r="H237" s="1" t="str">
        <f>IFERROR((VLOOKUP(G237,Backdata!G:H,2,0)),"")</f>
        <v/>
      </c>
      <c r="M237" s="5"/>
      <c r="N237" s="3">
        <f t="shared" si="42"/>
        <v>0</v>
      </c>
      <c r="O237" s="5"/>
      <c r="P237" s="3">
        <f t="shared" si="43"/>
        <v>0</v>
      </c>
      <c r="Q237" s="3">
        <f t="shared" si="39"/>
        <v>0</v>
      </c>
      <c r="T237" s="27" t="str">
        <f t="shared" si="29"/>
        <v/>
      </c>
      <c r="U237" s="1" t="str">
        <f t="shared" si="40"/>
        <v/>
      </c>
    </row>
    <row r="238" spans="2:21" hidden="1">
      <c r="B238" s="1">
        <f t="shared" si="41"/>
        <v>234</v>
      </c>
      <c r="C238" s="2"/>
      <c r="D238" s="2" t="str">
        <f t="shared" si="36"/>
        <v/>
      </c>
      <c r="E238" s="1" t="str">
        <f t="shared" si="37"/>
        <v/>
      </c>
      <c r="F238" s="1" t="str">
        <f t="shared" si="38"/>
        <v/>
      </c>
      <c r="H238" s="1" t="str">
        <f>IFERROR((VLOOKUP(G238,Backdata!G:H,2,0)),"")</f>
        <v/>
      </c>
      <c r="M238" s="5"/>
      <c r="N238" s="3">
        <f t="shared" si="42"/>
        <v>0</v>
      </c>
      <c r="O238" s="5"/>
      <c r="P238" s="3">
        <f t="shared" si="43"/>
        <v>0</v>
      </c>
      <c r="Q238" s="3">
        <f t="shared" si="39"/>
        <v>0</v>
      </c>
      <c r="T238" s="27" t="str">
        <f t="shared" si="29"/>
        <v/>
      </c>
      <c r="U238" s="1" t="str">
        <f t="shared" si="40"/>
        <v/>
      </c>
    </row>
    <row r="239" spans="2:21" hidden="1">
      <c r="B239" s="1">
        <f t="shared" si="41"/>
        <v>235</v>
      </c>
      <c r="C239" s="2"/>
      <c r="D239" s="2" t="str">
        <f t="shared" si="36"/>
        <v/>
      </c>
      <c r="E239" s="1" t="str">
        <f t="shared" si="37"/>
        <v/>
      </c>
      <c r="F239" s="1" t="str">
        <f t="shared" si="38"/>
        <v/>
      </c>
      <c r="H239" s="1" t="str">
        <f>IFERROR((VLOOKUP(G239,Backdata!G:H,2,0)),"")</f>
        <v/>
      </c>
      <c r="M239" s="5"/>
      <c r="N239" s="3">
        <f t="shared" si="42"/>
        <v>0</v>
      </c>
      <c r="O239" s="5"/>
      <c r="P239" s="3">
        <f t="shared" si="43"/>
        <v>0</v>
      </c>
      <c r="Q239" s="3">
        <f t="shared" si="39"/>
        <v>0</v>
      </c>
      <c r="T239" s="27" t="str">
        <f t="shared" si="29"/>
        <v/>
      </c>
      <c r="U239" s="1" t="str">
        <f t="shared" si="40"/>
        <v/>
      </c>
    </row>
    <row r="240" spans="2:21" hidden="1">
      <c r="B240" s="1">
        <f t="shared" si="41"/>
        <v>236</v>
      </c>
      <c r="C240" s="2"/>
      <c r="D240" s="2" t="str">
        <f t="shared" si="36"/>
        <v/>
      </c>
      <c r="E240" s="1" t="str">
        <f t="shared" si="37"/>
        <v/>
      </c>
      <c r="F240" s="1" t="str">
        <f t="shared" si="38"/>
        <v/>
      </c>
      <c r="H240" s="1" t="str">
        <f>IFERROR((VLOOKUP(G240,Backdata!G:H,2,0)),"")</f>
        <v/>
      </c>
      <c r="M240" s="5"/>
      <c r="N240" s="3">
        <f t="shared" si="42"/>
        <v>0</v>
      </c>
      <c r="O240" s="5"/>
      <c r="P240" s="3">
        <f t="shared" si="43"/>
        <v>0</v>
      </c>
      <c r="Q240" s="3">
        <f t="shared" si="39"/>
        <v>0</v>
      </c>
      <c r="T240" s="27" t="str">
        <f t="shared" si="29"/>
        <v/>
      </c>
      <c r="U240" s="1" t="str">
        <f t="shared" si="40"/>
        <v/>
      </c>
    </row>
    <row r="241" spans="2:21" hidden="1">
      <c r="B241" s="1">
        <f t="shared" si="41"/>
        <v>237</v>
      </c>
      <c r="C241" s="2"/>
      <c r="D241" s="2" t="str">
        <f t="shared" si="36"/>
        <v/>
      </c>
      <c r="E241" s="1" t="str">
        <f t="shared" si="37"/>
        <v/>
      </c>
      <c r="F241" s="1" t="str">
        <f t="shared" si="38"/>
        <v/>
      </c>
      <c r="H241" s="1" t="str">
        <f>IFERROR((VLOOKUP(G241,Backdata!G:H,2,0)),"")</f>
        <v/>
      </c>
      <c r="M241" s="5"/>
      <c r="N241" s="3">
        <f t="shared" si="42"/>
        <v>0</v>
      </c>
      <c r="O241" s="5"/>
      <c r="P241" s="3">
        <f t="shared" si="43"/>
        <v>0</v>
      </c>
      <c r="Q241" s="3">
        <f t="shared" si="39"/>
        <v>0</v>
      </c>
      <c r="T241" s="27" t="str">
        <f t="shared" si="29"/>
        <v/>
      </c>
      <c r="U241" s="1" t="str">
        <f t="shared" si="40"/>
        <v/>
      </c>
    </row>
    <row r="242" spans="2:21" hidden="1">
      <c r="B242" s="1">
        <f t="shared" si="41"/>
        <v>238</v>
      </c>
      <c r="C242" s="2"/>
      <c r="D242" s="2" t="str">
        <f t="shared" si="36"/>
        <v/>
      </c>
      <c r="E242" s="1" t="str">
        <f t="shared" si="37"/>
        <v/>
      </c>
      <c r="F242" s="1" t="str">
        <f t="shared" si="38"/>
        <v/>
      </c>
      <c r="H242" s="1" t="str">
        <f>IFERROR((VLOOKUP(G242,Backdata!G:H,2,0)),"")</f>
        <v/>
      </c>
      <c r="M242" s="5"/>
      <c r="N242" s="3">
        <f t="shared" si="42"/>
        <v>0</v>
      </c>
      <c r="O242" s="5"/>
      <c r="P242" s="3">
        <f t="shared" si="43"/>
        <v>0</v>
      </c>
      <c r="Q242" s="3">
        <f t="shared" si="39"/>
        <v>0</v>
      </c>
      <c r="T242" s="27" t="str">
        <f t="shared" si="29"/>
        <v/>
      </c>
      <c r="U242" s="1" t="str">
        <f t="shared" si="40"/>
        <v/>
      </c>
    </row>
    <row r="243" spans="2:21" hidden="1">
      <c r="B243" s="1">
        <f t="shared" si="41"/>
        <v>239</v>
      </c>
      <c r="C243" s="2"/>
      <c r="D243" s="2" t="str">
        <f t="shared" si="36"/>
        <v/>
      </c>
      <c r="E243" s="1" t="str">
        <f t="shared" si="37"/>
        <v/>
      </c>
      <c r="F243" s="1" t="str">
        <f t="shared" si="38"/>
        <v/>
      </c>
      <c r="H243" s="1" t="str">
        <f>IFERROR((VLOOKUP(G243,Backdata!G:H,2,0)),"")</f>
        <v/>
      </c>
      <c r="M243" s="5"/>
      <c r="N243" s="3">
        <f t="shared" si="42"/>
        <v>0</v>
      </c>
      <c r="O243" s="5"/>
      <c r="P243" s="3">
        <f t="shared" si="43"/>
        <v>0</v>
      </c>
      <c r="Q243" s="3">
        <f t="shared" si="39"/>
        <v>0</v>
      </c>
      <c r="T243" s="27" t="str">
        <f t="shared" si="29"/>
        <v/>
      </c>
      <c r="U243" s="1" t="str">
        <f t="shared" si="40"/>
        <v/>
      </c>
    </row>
    <row r="244" spans="2:21" hidden="1">
      <c r="B244" s="1">
        <f t="shared" si="41"/>
        <v>240</v>
      </c>
      <c r="C244" s="2"/>
      <c r="D244" s="2" t="str">
        <f t="shared" si="36"/>
        <v/>
      </c>
      <c r="E244" s="1" t="str">
        <f t="shared" si="37"/>
        <v/>
      </c>
      <c r="F244" s="1" t="str">
        <f t="shared" si="38"/>
        <v/>
      </c>
      <c r="H244" s="1" t="str">
        <f>IFERROR((VLOOKUP(G244,Backdata!G:H,2,0)),"")</f>
        <v/>
      </c>
      <c r="M244" s="5"/>
      <c r="N244" s="3">
        <f t="shared" si="42"/>
        <v>0</v>
      </c>
      <c r="O244" s="5"/>
      <c r="P244" s="3">
        <f t="shared" si="43"/>
        <v>0</v>
      </c>
      <c r="Q244" s="3">
        <f t="shared" si="39"/>
        <v>0</v>
      </c>
      <c r="T244" s="27" t="str">
        <f t="shared" si="29"/>
        <v/>
      </c>
      <c r="U244" s="1" t="str">
        <f t="shared" si="40"/>
        <v/>
      </c>
    </row>
    <row r="245" spans="2:21" hidden="1">
      <c r="B245" s="1">
        <f t="shared" si="41"/>
        <v>241</v>
      </c>
      <c r="C245" s="2"/>
      <c r="D245" s="2" t="str">
        <f t="shared" si="36"/>
        <v/>
      </c>
      <c r="E245" s="1" t="str">
        <f t="shared" si="37"/>
        <v/>
      </c>
      <c r="F245" s="1" t="str">
        <f t="shared" si="38"/>
        <v/>
      </c>
      <c r="H245" s="1" t="str">
        <f>IFERROR((VLOOKUP(G245,Backdata!G:H,2,0)),"")</f>
        <v/>
      </c>
      <c r="M245" s="5"/>
      <c r="N245" s="3">
        <f t="shared" si="42"/>
        <v>0</v>
      </c>
      <c r="O245" s="5"/>
      <c r="P245" s="3">
        <f t="shared" si="43"/>
        <v>0</v>
      </c>
      <c r="Q245" s="3">
        <f t="shared" si="39"/>
        <v>0</v>
      </c>
      <c r="T245" s="27" t="str">
        <f t="shared" si="29"/>
        <v/>
      </c>
      <c r="U245" s="1" t="str">
        <f t="shared" si="40"/>
        <v/>
      </c>
    </row>
    <row r="246" spans="2:21" hidden="1">
      <c r="B246" s="1">
        <f t="shared" si="41"/>
        <v>242</v>
      </c>
      <c r="C246" s="2"/>
      <c r="D246" s="2" t="str">
        <f t="shared" si="36"/>
        <v/>
      </c>
      <c r="E246" s="1" t="str">
        <f t="shared" si="37"/>
        <v/>
      </c>
      <c r="F246" s="1" t="str">
        <f t="shared" si="38"/>
        <v/>
      </c>
      <c r="H246" s="1" t="str">
        <f>IFERROR((VLOOKUP(G246,Backdata!G:H,2,0)),"")</f>
        <v/>
      </c>
      <c r="M246" s="5"/>
      <c r="N246" s="3">
        <f t="shared" si="42"/>
        <v>0</v>
      </c>
      <c r="O246" s="5"/>
      <c r="P246" s="3">
        <f t="shared" si="43"/>
        <v>0</v>
      </c>
      <c r="Q246" s="3">
        <f t="shared" si="39"/>
        <v>0</v>
      </c>
      <c r="T246" s="27" t="str">
        <f t="shared" si="29"/>
        <v/>
      </c>
      <c r="U246" s="1" t="str">
        <f t="shared" si="40"/>
        <v/>
      </c>
    </row>
    <row r="247" spans="2:21" hidden="1">
      <c r="B247" s="1">
        <f t="shared" si="41"/>
        <v>243</v>
      </c>
      <c r="C247" s="2"/>
      <c r="D247" s="2" t="str">
        <f t="shared" si="36"/>
        <v/>
      </c>
      <c r="E247" s="1" t="str">
        <f t="shared" si="37"/>
        <v/>
      </c>
      <c r="F247" s="1" t="str">
        <f t="shared" si="38"/>
        <v/>
      </c>
      <c r="H247" s="1" t="str">
        <f>IFERROR((VLOOKUP(G247,Backdata!G:H,2,0)),"")</f>
        <v/>
      </c>
      <c r="M247" s="5"/>
      <c r="N247" s="3">
        <f t="shared" si="42"/>
        <v>0</v>
      </c>
      <c r="O247" s="5"/>
      <c r="P247" s="3">
        <f t="shared" si="43"/>
        <v>0</v>
      </c>
      <c r="Q247" s="3">
        <f t="shared" si="39"/>
        <v>0</v>
      </c>
      <c r="T247" s="27" t="str">
        <f t="shared" si="29"/>
        <v/>
      </c>
      <c r="U247" s="1" t="str">
        <f t="shared" si="40"/>
        <v/>
      </c>
    </row>
    <row r="248" spans="2:21" hidden="1">
      <c r="B248" s="1">
        <f t="shared" si="41"/>
        <v>244</v>
      </c>
      <c r="C248" s="2"/>
      <c r="D248" s="2" t="str">
        <f t="shared" si="36"/>
        <v/>
      </c>
      <c r="E248" s="1" t="str">
        <f t="shared" si="37"/>
        <v/>
      </c>
      <c r="F248" s="1" t="str">
        <f t="shared" si="38"/>
        <v/>
      </c>
      <c r="H248" s="1" t="str">
        <f>IFERROR((VLOOKUP(G248,Backdata!G:H,2,0)),"")</f>
        <v/>
      </c>
      <c r="M248" s="5"/>
      <c r="N248" s="3">
        <f t="shared" si="42"/>
        <v>0</v>
      </c>
      <c r="O248" s="5"/>
      <c r="P248" s="3">
        <f t="shared" si="43"/>
        <v>0</v>
      </c>
      <c r="Q248" s="3">
        <f t="shared" si="39"/>
        <v>0</v>
      </c>
      <c r="T248" s="27" t="str">
        <f t="shared" si="29"/>
        <v/>
      </c>
      <c r="U248" s="1" t="str">
        <f t="shared" si="40"/>
        <v/>
      </c>
    </row>
    <row r="249" spans="2:21" hidden="1">
      <c r="B249" s="1">
        <f t="shared" si="41"/>
        <v>245</v>
      </c>
      <c r="C249" s="2"/>
      <c r="D249" s="2" t="str">
        <f t="shared" si="36"/>
        <v/>
      </c>
      <c r="E249" s="1" t="str">
        <f t="shared" si="37"/>
        <v/>
      </c>
      <c r="F249" s="1" t="str">
        <f t="shared" si="38"/>
        <v/>
      </c>
      <c r="H249" s="1" t="str">
        <f>IFERROR((VLOOKUP(G249,Backdata!G:H,2,0)),"")</f>
        <v/>
      </c>
      <c r="M249" s="5"/>
      <c r="N249" s="3">
        <f t="shared" si="42"/>
        <v>0</v>
      </c>
      <c r="O249" s="5"/>
      <c r="P249" s="3">
        <f t="shared" si="43"/>
        <v>0</v>
      </c>
      <c r="Q249" s="3">
        <f t="shared" si="39"/>
        <v>0</v>
      </c>
      <c r="T249" s="27" t="str">
        <f t="shared" ref="T249:T312" si="44">IF(OR(I249="타이어",I249=""),"",C249)</f>
        <v/>
      </c>
      <c r="U249" s="1" t="str">
        <f t="shared" si="40"/>
        <v/>
      </c>
    </row>
    <row r="250" spans="2:21" hidden="1">
      <c r="B250" s="1">
        <f t="shared" si="41"/>
        <v>246</v>
      </c>
      <c r="C250" s="2"/>
      <c r="D250" s="2" t="str">
        <f t="shared" si="36"/>
        <v/>
      </c>
      <c r="E250" s="1" t="str">
        <f t="shared" si="37"/>
        <v/>
      </c>
      <c r="F250" s="1" t="str">
        <f t="shared" si="38"/>
        <v/>
      </c>
      <c r="H250" s="1" t="str">
        <f>IFERROR((VLOOKUP(G250,Backdata!G:H,2,0)),"")</f>
        <v/>
      </c>
      <c r="M250" s="5"/>
      <c r="N250" s="3">
        <f t="shared" si="42"/>
        <v>0</v>
      </c>
      <c r="O250" s="5"/>
      <c r="P250" s="3">
        <f t="shared" si="43"/>
        <v>0</v>
      </c>
      <c r="Q250" s="3">
        <f t="shared" si="39"/>
        <v>0</v>
      </c>
      <c r="T250" s="27" t="str">
        <f t="shared" si="44"/>
        <v/>
      </c>
      <c r="U250" s="1" t="str">
        <f t="shared" si="40"/>
        <v/>
      </c>
    </row>
    <row r="251" spans="2:21" hidden="1">
      <c r="B251" s="1">
        <f t="shared" si="41"/>
        <v>247</v>
      </c>
      <c r="C251" s="2"/>
      <c r="D251" s="2" t="str">
        <f t="shared" si="36"/>
        <v/>
      </c>
      <c r="E251" s="1" t="str">
        <f t="shared" si="37"/>
        <v/>
      </c>
      <c r="F251" s="1" t="str">
        <f t="shared" si="38"/>
        <v/>
      </c>
      <c r="H251" s="1" t="str">
        <f>IFERROR((VLOOKUP(G251,Backdata!G:H,2,0)),"")</f>
        <v/>
      </c>
      <c r="M251" s="5"/>
      <c r="N251" s="3">
        <f t="shared" si="42"/>
        <v>0</v>
      </c>
      <c r="O251" s="5"/>
      <c r="P251" s="3">
        <f t="shared" si="43"/>
        <v>0</v>
      </c>
      <c r="Q251" s="3">
        <f t="shared" si="39"/>
        <v>0</v>
      </c>
      <c r="T251" s="27" t="str">
        <f t="shared" si="44"/>
        <v/>
      </c>
      <c r="U251" s="1" t="str">
        <f t="shared" si="40"/>
        <v/>
      </c>
    </row>
    <row r="252" spans="2:21" hidden="1">
      <c r="B252" s="1">
        <f t="shared" si="41"/>
        <v>248</v>
      </c>
      <c r="C252" s="2"/>
      <c r="D252" s="2" t="str">
        <f t="shared" si="36"/>
        <v/>
      </c>
      <c r="E252" s="1" t="str">
        <f t="shared" si="37"/>
        <v/>
      </c>
      <c r="F252" s="1" t="str">
        <f t="shared" si="38"/>
        <v/>
      </c>
      <c r="H252" s="1" t="str">
        <f>IFERROR((VLOOKUP(G252,Backdata!G:H,2,0)),"")</f>
        <v/>
      </c>
      <c r="M252" s="5"/>
      <c r="N252" s="3">
        <f t="shared" si="42"/>
        <v>0</v>
      </c>
      <c r="O252" s="5"/>
      <c r="P252" s="3">
        <f t="shared" si="43"/>
        <v>0</v>
      </c>
      <c r="Q252" s="3">
        <f t="shared" si="39"/>
        <v>0</v>
      </c>
      <c r="T252" s="27" t="str">
        <f t="shared" si="44"/>
        <v/>
      </c>
      <c r="U252" s="1" t="str">
        <f t="shared" si="40"/>
        <v/>
      </c>
    </row>
    <row r="253" spans="2:21" hidden="1">
      <c r="B253" s="1">
        <f t="shared" si="41"/>
        <v>249</v>
      </c>
      <c r="C253" s="2"/>
      <c r="D253" s="2" t="str">
        <f t="shared" si="36"/>
        <v/>
      </c>
      <c r="E253" s="1" t="str">
        <f t="shared" si="37"/>
        <v/>
      </c>
      <c r="F253" s="1" t="str">
        <f t="shared" si="38"/>
        <v/>
      </c>
      <c r="H253" s="1" t="str">
        <f>IFERROR((VLOOKUP(G253,Backdata!G:H,2,0)),"")</f>
        <v/>
      </c>
      <c r="M253" s="5"/>
      <c r="N253" s="3">
        <f t="shared" si="42"/>
        <v>0</v>
      </c>
      <c r="O253" s="5"/>
      <c r="P253" s="3">
        <f t="shared" si="43"/>
        <v>0</v>
      </c>
      <c r="Q253" s="3">
        <f t="shared" si="39"/>
        <v>0</v>
      </c>
      <c r="T253" s="27" t="str">
        <f t="shared" si="44"/>
        <v/>
      </c>
      <c r="U253" s="1" t="str">
        <f t="shared" si="40"/>
        <v/>
      </c>
    </row>
    <row r="254" spans="2:21" hidden="1">
      <c r="B254" s="1">
        <f t="shared" si="41"/>
        <v>250</v>
      </c>
      <c r="C254" s="2"/>
      <c r="D254" s="2" t="str">
        <f t="shared" si="36"/>
        <v/>
      </c>
      <c r="E254" s="1" t="str">
        <f t="shared" si="37"/>
        <v/>
      </c>
      <c r="F254" s="1" t="str">
        <f t="shared" si="38"/>
        <v/>
      </c>
      <c r="H254" s="1" t="str">
        <f>IFERROR((VLOOKUP(G254,Backdata!G:H,2,0)),"")</f>
        <v/>
      </c>
      <c r="M254" s="5"/>
      <c r="N254" s="3">
        <f t="shared" si="42"/>
        <v>0</v>
      </c>
      <c r="O254" s="5"/>
      <c r="P254" s="3">
        <f t="shared" si="43"/>
        <v>0</v>
      </c>
      <c r="Q254" s="3">
        <f t="shared" si="39"/>
        <v>0</v>
      </c>
      <c r="T254" s="27" t="str">
        <f t="shared" si="44"/>
        <v/>
      </c>
      <c r="U254" s="1" t="str">
        <f t="shared" si="40"/>
        <v/>
      </c>
    </row>
    <row r="255" spans="2:21" hidden="1">
      <c r="B255" s="1">
        <f t="shared" si="41"/>
        <v>251</v>
      </c>
      <c r="C255" s="2"/>
      <c r="D255" s="2" t="str">
        <f t="shared" si="36"/>
        <v/>
      </c>
      <c r="E255" s="1" t="str">
        <f t="shared" si="37"/>
        <v/>
      </c>
      <c r="F255" s="1" t="str">
        <f t="shared" si="38"/>
        <v/>
      </c>
      <c r="H255" s="1" t="str">
        <f>IFERROR((VLOOKUP(G255,Backdata!G:H,2,0)),"")</f>
        <v/>
      </c>
      <c r="M255" s="5"/>
      <c r="N255" s="3">
        <f t="shared" si="42"/>
        <v>0</v>
      </c>
      <c r="O255" s="5"/>
      <c r="P255" s="3">
        <f t="shared" si="43"/>
        <v>0</v>
      </c>
      <c r="Q255" s="3">
        <f t="shared" si="39"/>
        <v>0</v>
      </c>
      <c r="T255" s="27" t="str">
        <f t="shared" si="44"/>
        <v/>
      </c>
      <c r="U255" s="1" t="str">
        <f t="shared" si="40"/>
        <v/>
      </c>
    </row>
    <row r="256" spans="2:21" hidden="1">
      <c r="B256" s="1">
        <f t="shared" si="41"/>
        <v>252</v>
      </c>
      <c r="C256" s="2"/>
      <c r="D256" s="2" t="str">
        <f t="shared" si="36"/>
        <v/>
      </c>
      <c r="E256" s="1" t="str">
        <f t="shared" si="37"/>
        <v/>
      </c>
      <c r="F256" s="1" t="str">
        <f t="shared" si="38"/>
        <v/>
      </c>
      <c r="H256" s="1" t="str">
        <f>IFERROR((VLOOKUP(G256,Backdata!G:H,2,0)),"")</f>
        <v/>
      </c>
      <c r="M256" s="5"/>
      <c r="N256" s="3">
        <f t="shared" si="42"/>
        <v>0</v>
      </c>
      <c r="O256" s="5"/>
      <c r="P256" s="3">
        <f t="shared" si="43"/>
        <v>0</v>
      </c>
      <c r="Q256" s="3">
        <f t="shared" si="39"/>
        <v>0</v>
      </c>
      <c r="T256" s="27" t="str">
        <f t="shared" si="44"/>
        <v/>
      </c>
      <c r="U256" s="1" t="str">
        <f t="shared" si="40"/>
        <v/>
      </c>
    </row>
    <row r="257" spans="2:21" hidden="1">
      <c r="B257" s="1">
        <f t="shared" si="41"/>
        <v>253</v>
      </c>
      <c r="C257" s="2"/>
      <c r="D257" s="2" t="str">
        <f t="shared" si="36"/>
        <v/>
      </c>
      <c r="E257" s="1" t="str">
        <f t="shared" si="37"/>
        <v/>
      </c>
      <c r="F257" s="1" t="str">
        <f t="shared" si="38"/>
        <v/>
      </c>
      <c r="H257" s="1" t="str">
        <f>IFERROR((VLOOKUP(G257,Backdata!G:H,2,0)),"")</f>
        <v/>
      </c>
      <c r="M257" s="5"/>
      <c r="N257" s="3">
        <f t="shared" si="42"/>
        <v>0</v>
      </c>
      <c r="O257" s="5"/>
      <c r="P257" s="3">
        <f t="shared" si="43"/>
        <v>0</v>
      </c>
      <c r="Q257" s="3">
        <f t="shared" si="39"/>
        <v>0</v>
      </c>
      <c r="T257" s="27" t="str">
        <f t="shared" si="44"/>
        <v/>
      </c>
      <c r="U257" s="1" t="str">
        <f t="shared" si="40"/>
        <v/>
      </c>
    </row>
    <row r="258" spans="2:21" hidden="1">
      <c r="B258" s="1">
        <f t="shared" si="41"/>
        <v>254</v>
      </c>
      <c r="C258" s="2"/>
      <c r="D258" s="2" t="str">
        <f t="shared" si="36"/>
        <v/>
      </c>
      <c r="E258" s="1" t="str">
        <f t="shared" si="37"/>
        <v/>
      </c>
      <c r="F258" s="1" t="str">
        <f t="shared" si="38"/>
        <v/>
      </c>
      <c r="H258" s="1" t="str">
        <f>IFERROR((VLOOKUP(G258,Backdata!G:H,2,0)),"")</f>
        <v/>
      </c>
      <c r="M258" s="5"/>
      <c r="N258" s="3">
        <f t="shared" si="42"/>
        <v>0</v>
      </c>
      <c r="O258" s="5"/>
      <c r="P258" s="3">
        <f t="shared" si="43"/>
        <v>0</v>
      </c>
      <c r="Q258" s="3">
        <f t="shared" si="39"/>
        <v>0</v>
      </c>
      <c r="T258" s="27" t="str">
        <f t="shared" si="44"/>
        <v/>
      </c>
      <c r="U258" s="1" t="str">
        <f t="shared" si="40"/>
        <v/>
      </c>
    </row>
    <row r="259" spans="2:21" hidden="1">
      <c r="B259" s="1">
        <f t="shared" si="41"/>
        <v>255</v>
      </c>
      <c r="C259" s="2"/>
      <c r="D259" s="2" t="str">
        <f t="shared" si="36"/>
        <v/>
      </c>
      <c r="E259" s="1" t="str">
        <f t="shared" si="37"/>
        <v/>
      </c>
      <c r="F259" s="1" t="str">
        <f t="shared" si="38"/>
        <v/>
      </c>
      <c r="H259" s="1" t="str">
        <f>IFERROR((VLOOKUP(G259,Backdata!G:H,2,0)),"")</f>
        <v/>
      </c>
      <c r="M259" s="5"/>
      <c r="N259" s="3">
        <f t="shared" si="42"/>
        <v>0</v>
      </c>
      <c r="O259" s="5"/>
      <c r="P259" s="3">
        <f t="shared" si="43"/>
        <v>0</v>
      </c>
      <c r="Q259" s="3">
        <f t="shared" si="39"/>
        <v>0</v>
      </c>
      <c r="T259" s="27" t="str">
        <f t="shared" si="44"/>
        <v/>
      </c>
      <c r="U259" s="1" t="str">
        <f t="shared" si="40"/>
        <v/>
      </c>
    </row>
    <row r="260" spans="2:21" hidden="1">
      <c r="B260" s="1">
        <f t="shared" si="41"/>
        <v>256</v>
      </c>
      <c r="C260" s="2"/>
      <c r="D260" s="2" t="str">
        <f t="shared" si="36"/>
        <v/>
      </c>
      <c r="E260" s="1" t="str">
        <f t="shared" si="37"/>
        <v/>
      </c>
      <c r="F260" s="1" t="str">
        <f t="shared" si="38"/>
        <v/>
      </c>
      <c r="H260" s="1" t="str">
        <f>IFERROR((VLOOKUP(G260,Backdata!G:H,2,0)),"")</f>
        <v/>
      </c>
      <c r="M260" s="5"/>
      <c r="N260" s="3">
        <f t="shared" si="42"/>
        <v>0</v>
      </c>
      <c r="O260" s="5"/>
      <c r="P260" s="3">
        <f t="shared" si="43"/>
        <v>0</v>
      </c>
      <c r="Q260" s="3">
        <f t="shared" si="39"/>
        <v>0</v>
      </c>
      <c r="T260" s="27" t="str">
        <f t="shared" si="44"/>
        <v/>
      </c>
      <c r="U260" s="1" t="str">
        <f t="shared" si="40"/>
        <v/>
      </c>
    </row>
    <row r="261" spans="2:21" hidden="1">
      <c r="B261" s="1">
        <f t="shared" si="41"/>
        <v>257</v>
      </c>
      <c r="C261" s="2"/>
      <c r="D261" s="2" t="str">
        <f t="shared" ref="D261:D324" si="45">IF((C261=""),"",(YEAR(C261)&amp;"년"))</f>
        <v/>
      </c>
      <c r="E261" s="1" t="str">
        <f t="shared" ref="E261:E324" si="46">IF((C261=""),"",(MONTH(C261)&amp;"월"))</f>
        <v/>
      </c>
      <c r="F261" s="1" t="str">
        <f t="shared" ref="F261:F324" si="47">CONCATENATE(D261,E261)</f>
        <v/>
      </c>
      <c r="H261" s="1" t="str">
        <f>IFERROR((VLOOKUP(G261,Backdata!G:H,2,0)),"")</f>
        <v/>
      </c>
      <c r="M261" s="5"/>
      <c r="N261" s="3">
        <f t="shared" si="42"/>
        <v>0</v>
      </c>
      <c r="O261" s="5"/>
      <c r="P261" s="3">
        <f t="shared" si="43"/>
        <v>0</v>
      </c>
      <c r="Q261" s="3">
        <f t="shared" ref="Q261:Q324" si="48">N261-P261</f>
        <v>0</v>
      </c>
      <c r="T261" s="27" t="str">
        <f t="shared" si="44"/>
        <v/>
      </c>
      <c r="U261" s="1" t="str">
        <f t="shared" ref="U261:U324" si="49">IF(T261="","","완료")</f>
        <v/>
      </c>
    </row>
    <row r="262" spans="2:21" hidden="1">
      <c r="B262" s="1">
        <f t="shared" ref="B262:B325" si="50">B261+1</f>
        <v>258</v>
      </c>
      <c r="C262" s="2"/>
      <c r="D262" s="2" t="str">
        <f t="shared" si="45"/>
        <v/>
      </c>
      <c r="E262" s="1" t="str">
        <f t="shared" si="46"/>
        <v/>
      </c>
      <c r="F262" s="1" t="str">
        <f t="shared" si="47"/>
        <v/>
      </c>
      <c r="H262" s="1" t="str">
        <f>IFERROR((VLOOKUP(G262,Backdata!G:H,2,0)),"")</f>
        <v/>
      </c>
      <c r="M262" s="5"/>
      <c r="N262" s="3">
        <f t="shared" ref="N262:N325" si="51">M262*L262*1.1</f>
        <v>0</v>
      </c>
      <c r="O262" s="5"/>
      <c r="P262" s="3">
        <f t="shared" ref="P262:P325" si="52">O262*L262*1.1</f>
        <v>0</v>
      </c>
      <c r="Q262" s="3">
        <f t="shared" si="48"/>
        <v>0</v>
      </c>
      <c r="T262" s="27" t="str">
        <f t="shared" si="44"/>
        <v/>
      </c>
      <c r="U262" s="1" t="str">
        <f t="shared" si="49"/>
        <v/>
      </c>
    </row>
    <row r="263" spans="2:21" hidden="1">
      <c r="B263" s="1">
        <f t="shared" si="50"/>
        <v>259</v>
      </c>
      <c r="C263" s="2"/>
      <c r="D263" s="2" t="str">
        <f t="shared" si="45"/>
        <v/>
      </c>
      <c r="E263" s="1" t="str">
        <f t="shared" si="46"/>
        <v/>
      </c>
      <c r="F263" s="1" t="str">
        <f t="shared" si="47"/>
        <v/>
      </c>
      <c r="H263" s="1" t="str">
        <f>IFERROR((VLOOKUP(G263,Backdata!G:H,2,0)),"")</f>
        <v/>
      </c>
      <c r="M263" s="5"/>
      <c r="N263" s="3">
        <f t="shared" si="51"/>
        <v>0</v>
      </c>
      <c r="O263" s="5"/>
      <c r="P263" s="3">
        <f t="shared" si="52"/>
        <v>0</v>
      </c>
      <c r="Q263" s="3">
        <f t="shared" si="48"/>
        <v>0</v>
      </c>
      <c r="T263" s="27" t="str">
        <f t="shared" si="44"/>
        <v/>
      </c>
      <c r="U263" s="1" t="str">
        <f t="shared" si="49"/>
        <v/>
      </c>
    </row>
    <row r="264" spans="2:21" hidden="1">
      <c r="B264" s="1">
        <f t="shared" si="50"/>
        <v>260</v>
      </c>
      <c r="C264" s="2"/>
      <c r="D264" s="2" t="str">
        <f t="shared" si="45"/>
        <v/>
      </c>
      <c r="E264" s="1" t="str">
        <f t="shared" si="46"/>
        <v/>
      </c>
      <c r="F264" s="1" t="str">
        <f t="shared" si="47"/>
        <v/>
      </c>
      <c r="H264" s="1" t="str">
        <f>IFERROR((VLOOKUP(G264,Backdata!G:H,2,0)),"")</f>
        <v/>
      </c>
      <c r="M264" s="5"/>
      <c r="N264" s="3">
        <f t="shared" si="51"/>
        <v>0</v>
      </c>
      <c r="O264" s="5"/>
      <c r="P264" s="3">
        <f t="shared" si="52"/>
        <v>0</v>
      </c>
      <c r="Q264" s="3">
        <f t="shared" si="48"/>
        <v>0</v>
      </c>
      <c r="T264" s="27" t="str">
        <f t="shared" si="44"/>
        <v/>
      </c>
      <c r="U264" s="1" t="str">
        <f t="shared" si="49"/>
        <v/>
      </c>
    </row>
    <row r="265" spans="2:21" hidden="1">
      <c r="B265" s="1">
        <f t="shared" si="50"/>
        <v>261</v>
      </c>
      <c r="C265" s="2"/>
      <c r="D265" s="2" t="str">
        <f t="shared" si="45"/>
        <v/>
      </c>
      <c r="E265" s="1" t="str">
        <f t="shared" si="46"/>
        <v/>
      </c>
      <c r="F265" s="1" t="str">
        <f t="shared" si="47"/>
        <v/>
      </c>
      <c r="H265" s="1" t="str">
        <f>IFERROR((VLOOKUP(G265,Backdata!G:H,2,0)),"")</f>
        <v/>
      </c>
      <c r="M265" s="5"/>
      <c r="N265" s="3">
        <f t="shared" si="51"/>
        <v>0</v>
      </c>
      <c r="O265" s="5"/>
      <c r="P265" s="3">
        <f t="shared" si="52"/>
        <v>0</v>
      </c>
      <c r="Q265" s="3">
        <f t="shared" si="48"/>
        <v>0</v>
      </c>
      <c r="T265" s="27" t="str">
        <f t="shared" si="44"/>
        <v/>
      </c>
      <c r="U265" s="1" t="str">
        <f t="shared" si="49"/>
        <v/>
      </c>
    </row>
    <row r="266" spans="2:21" hidden="1">
      <c r="B266" s="1">
        <f t="shared" si="50"/>
        <v>262</v>
      </c>
      <c r="C266" s="2"/>
      <c r="D266" s="2" t="str">
        <f t="shared" si="45"/>
        <v/>
      </c>
      <c r="E266" s="1" t="str">
        <f t="shared" si="46"/>
        <v/>
      </c>
      <c r="F266" s="1" t="str">
        <f t="shared" si="47"/>
        <v/>
      </c>
      <c r="H266" s="1" t="str">
        <f>IFERROR((VLOOKUP(G266,Backdata!G:H,2,0)),"")</f>
        <v/>
      </c>
      <c r="M266" s="5"/>
      <c r="N266" s="3">
        <f t="shared" si="51"/>
        <v>0</v>
      </c>
      <c r="O266" s="5"/>
      <c r="P266" s="3">
        <f t="shared" si="52"/>
        <v>0</v>
      </c>
      <c r="Q266" s="3">
        <f t="shared" si="48"/>
        <v>0</v>
      </c>
      <c r="T266" s="27" t="str">
        <f t="shared" si="44"/>
        <v/>
      </c>
      <c r="U266" s="1" t="str">
        <f t="shared" si="49"/>
        <v/>
      </c>
    </row>
    <row r="267" spans="2:21" hidden="1">
      <c r="B267" s="1">
        <f t="shared" si="50"/>
        <v>263</v>
      </c>
      <c r="C267" s="2"/>
      <c r="D267" s="2" t="str">
        <f t="shared" si="45"/>
        <v/>
      </c>
      <c r="E267" s="1" t="str">
        <f t="shared" si="46"/>
        <v/>
      </c>
      <c r="F267" s="1" t="str">
        <f t="shared" si="47"/>
        <v/>
      </c>
      <c r="H267" s="1" t="str">
        <f>IFERROR((VLOOKUP(G267,Backdata!G:H,2,0)),"")</f>
        <v/>
      </c>
      <c r="M267" s="5"/>
      <c r="N267" s="3">
        <f t="shared" si="51"/>
        <v>0</v>
      </c>
      <c r="O267" s="5"/>
      <c r="P267" s="3">
        <f t="shared" si="52"/>
        <v>0</v>
      </c>
      <c r="Q267" s="3">
        <f t="shared" si="48"/>
        <v>0</v>
      </c>
      <c r="T267" s="27" t="str">
        <f t="shared" si="44"/>
        <v/>
      </c>
      <c r="U267" s="1" t="str">
        <f t="shared" si="49"/>
        <v/>
      </c>
    </row>
    <row r="268" spans="2:21" hidden="1">
      <c r="B268" s="1">
        <f t="shared" si="50"/>
        <v>264</v>
      </c>
      <c r="C268" s="2"/>
      <c r="D268" s="2" t="str">
        <f t="shared" si="45"/>
        <v/>
      </c>
      <c r="E268" s="1" t="str">
        <f t="shared" si="46"/>
        <v/>
      </c>
      <c r="F268" s="1" t="str">
        <f t="shared" si="47"/>
        <v/>
      </c>
      <c r="H268" s="1" t="str">
        <f>IFERROR((VLOOKUP(G268,Backdata!G:H,2,0)),"")</f>
        <v/>
      </c>
      <c r="M268" s="5"/>
      <c r="N268" s="3">
        <f t="shared" si="51"/>
        <v>0</v>
      </c>
      <c r="O268" s="5"/>
      <c r="P268" s="3">
        <f t="shared" si="52"/>
        <v>0</v>
      </c>
      <c r="Q268" s="3">
        <f t="shared" si="48"/>
        <v>0</v>
      </c>
      <c r="T268" s="27" t="str">
        <f t="shared" si="44"/>
        <v/>
      </c>
      <c r="U268" s="1" t="str">
        <f t="shared" si="49"/>
        <v/>
      </c>
    </row>
    <row r="269" spans="2:21" hidden="1">
      <c r="B269" s="1">
        <f t="shared" si="50"/>
        <v>265</v>
      </c>
      <c r="C269" s="2"/>
      <c r="D269" s="2" t="str">
        <f t="shared" si="45"/>
        <v/>
      </c>
      <c r="E269" s="1" t="str">
        <f t="shared" si="46"/>
        <v/>
      </c>
      <c r="F269" s="1" t="str">
        <f t="shared" si="47"/>
        <v/>
      </c>
      <c r="H269" s="1" t="str">
        <f>IFERROR((VLOOKUP(G269,Backdata!G:H,2,0)),"")</f>
        <v/>
      </c>
      <c r="M269" s="5"/>
      <c r="N269" s="3">
        <f t="shared" si="51"/>
        <v>0</v>
      </c>
      <c r="O269" s="5"/>
      <c r="P269" s="3">
        <f t="shared" si="52"/>
        <v>0</v>
      </c>
      <c r="Q269" s="3">
        <f t="shared" si="48"/>
        <v>0</v>
      </c>
      <c r="T269" s="27" t="str">
        <f t="shared" si="44"/>
        <v/>
      </c>
      <c r="U269" s="1" t="str">
        <f t="shared" si="49"/>
        <v/>
      </c>
    </row>
    <row r="270" spans="2:21" hidden="1">
      <c r="B270" s="1">
        <f t="shared" si="50"/>
        <v>266</v>
      </c>
      <c r="C270" s="2"/>
      <c r="D270" s="2" t="str">
        <f t="shared" si="45"/>
        <v/>
      </c>
      <c r="E270" s="1" t="str">
        <f t="shared" si="46"/>
        <v/>
      </c>
      <c r="F270" s="1" t="str">
        <f t="shared" si="47"/>
        <v/>
      </c>
      <c r="H270" s="1" t="str">
        <f>IFERROR((VLOOKUP(G270,Backdata!G:H,2,0)),"")</f>
        <v/>
      </c>
      <c r="M270" s="5"/>
      <c r="N270" s="3">
        <f t="shared" si="51"/>
        <v>0</v>
      </c>
      <c r="O270" s="5"/>
      <c r="P270" s="3">
        <f t="shared" si="52"/>
        <v>0</v>
      </c>
      <c r="Q270" s="3">
        <f t="shared" si="48"/>
        <v>0</v>
      </c>
      <c r="T270" s="27" t="str">
        <f t="shared" si="44"/>
        <v/>
      </c>
      <c r="U270" s="1" t="str">
        <f t="shared" si="49"/>
        <v/>
      </c>
    </row>
    <row r="271" spans="2:21" hidden="1">
      <c r="B271" s="1">
        <f t="shared" si="50"/>
        <v>267</v>
      </c>
      <c r="C271" s="2"/>
      <c r="D271" s="2" t="str">
        <f t="shared" si="45"/>
        <v/>
      </c>
      <c r="E271" s="1" t="str">
        <f t="shared" si="46"/>
        <v/>
      </c>
      <c r="F271" s="1" t="str">
        <f t="shared" si="47"/>
        <v/>
      </c>
      <c r="H271" s="1" t="str">
        <f>IFERROR((VLOOKUP(G271,Backdata!G:H,2,0)),"")</f>
        <v/>
      </c>
      <c r="M271" s="5"/>
      <c r="N271" s="3">
        <f t="shared" si="51"/>
        <v>0</v>
      </c>
      <c r="O271" s="5"/>
      <c r="P271" s="3">
        <f t="shared" si="52"/>
        <v>0</v>
      </c>
      <c r="Q271" s="3">
        <f t="shared" si="48"/>
        <v>0</v>
      </c>
      <c r="T271" s="27" t="str">
        <f t="shared" si="44"/>
        <v/>
      </c>
      <c r="U271" s="1" t="str">
        <f t="shared" si="49"/>
        <v/>
      </c>
    </row>
    <row r="272" spans="2:21" hidden="1">
      <c r="B272" s="1">
        <f t="shared" si="50"/>
        <v>268</v>
      </c>
      <c r="C272" s="2"/>
      <c r="D272" s="2" t="str">
        <f t="shared" si="45"/>
        <v/>
      </c>
      <c r="E272" s="1" t="str">
        <f t="shared" si="46"/>
        <v/>
      </c>
      <c r="F272" s="1" t="str">
        <f t="shared" si="47"/>
        <v/>
      </c>
      <c r="H272" s="1" t="str">
        <f>IFERROR((VLOOKUP(G272,Backdata!G:H,2,0)),"")</f>
        <v/>
      </c>
      <c r="M272" s="5"/>
      <c r="N272" s="3">
        <f t="shared" si="51"/>
        <v>0</v>
      </c>
      <c r="O272" s="5"/>
      <c r="P272" s="3">
        <f t="shared" si="52"/>
        <v>0</v>
      </c>
      <c r="Q272" s="3">
        <f t="shared" si="48"/>
        <v>0</v>
      </c>
      <c r="T272" s="27" t="str">
        <f t="shared" si="44"/>
        <v/>
      </c>
      <c r="U272" s="1" t="str">
        <f t="shared" si="49"/>
        <v/>
      </c>
    </row>
    <row r="273" spans="2:21" hidden="1">
      <c r="B273" s="1">
        <f t="shared" si="50"/>
        <v>269</v>
      </c>
      <c r="C273" s="2"/>
      <c r="D273" s="2" t="str">
        <f t="shared" si="45"/>
        <v/>
      </c>
      <c r="E273" s="1" t="str">
        <f t="shared" si="46"/>
        <v/>
      </c>
      <c r="F273" s="1" t="str">
        <f t="shared" si="47"/>
        <v/>
      </c>
      <c r="H273" s="1" t="str">
        <f>IFERROR((VLOOKUP(G273,Backdata!G:H,2,0)),"")</f>
        <v/>
      </c>
      <c r="M273" s="5"/>
      <c r="N273" s="3">
        <f t="shared" si="51"/>
        <v>0</v>
      </c>
      <c r="O273" s="5"/>
      <c r="P273" s="3">
        <f t="shared" si="52"/>
        <v>0</v>
      </c>
      <c r="Q273" s="3">
        <f t="shared" si="48"/>
        <v>0</v>
      </c>
      <c r="T273" s="27" t="str">
        <f t="shared" si="44"/>
        <v/>
      </c>
      <c r="U273" s="1" t="str">
        <f t="shared" si="49"/>
        <v/>
      </c>
    </row>
    <row r="274" spans="2:21" hidden="1">
      <c r="B274" s="1">
        <f t="shared" si="50"/>
        <v>270</v>
      </c>
      <c r="C274" s="2"/>
      <c r="D274" s="2" t="str">
        <f t="shared" si="45"/>
        <v/>
      </c>
      <c r="E274" s="1" t="str">
        <f t="shared" si="46"/>
        <v/>
      </c>
      <c r="F274" s="1" t="str">
        <f t="shared" si="47"/>
        <v/>
      </c>
      <c r="H274" s="1" t="str">
        <f>IFERROR((VLOOKUP(G274,Backdata!G:H,2,0)),"")</f>
        <v/>
      </c>
      <c r="M274" s="5"/>
      <c r="N274" s="3">
        <f t="shared" si="51"/>
        <v>0</v>
      </c>
      <c r="O274" s="5"/>
      <c r="P274" s="3">
        <f t="shared" si="52"/>
        <v>0</v>
      </c>
      <c r="Q274" s="3">
        <f t="shared" si="48"/>
        <v>0</v>
      </c>
      <c r="T274" s="27" t="str">
        <f t="shared" si="44"/>
        <v/>
      </c>
      <c r="U274" s="1" t="str">
        <f t="shared" si="49"/>
        <v/>
      </c>
    </row>
    <row r="275" spans="2:21" hidden="1">
      <c r="B275" s="1">
        <f t="shared" si="50"/>
        <v>271</v>
      </c>
      <c r="C275" s="2"/>
      <c r="D275" s="2" t="str">
        <f t="shared" si="45"/>
        <v/>
      </c>
      <c r="E275" s="1" t="str">
        <f t="shared" si="46"/>
        <v/>
      </c>
      <c r="F275" s="1" t="str">
        <f t="shared" si="47"/>
        <v/>
      </c>
      <c r="H275" s="1" t="str">
        <f>IFERROR((VLOOKUP(G275,Backdata!G:H,2,0)),"")</f>
        <v/>
      </c>
      <c r="M275" s="5"/>
      <c r="N275" s="3">
        <f t="shared" si="51"/>
        <v>0</v>
      </c>
      <c r="O275" s="5"/>
      <c r="P275" s="3">
        <f t="shared" si="52"/>
        <v>0</v>
      </c>
      <c r="Q275" s="3">
        <f t="shared" si="48"/>
        <v>0</v>
      </c>
      <c r="T275" s="27" t="str">
        <f t="shared" si="44"/>
        <v/>
      </c>
      <c r="U275" s="1" t="str">
        <f t="shared" si="49"/>
        <v/>
      </c>
    </row>
    <row r="276" spans="2:21" hidden="1">
      <c r="B276" s="1">
        <f t="shared" si="50"/>
        <v>272</v>
      </c>
      <c r="C276" s="2"/>
      <c r="D276" s="2" t="str">
        <f t="shared" si="45"/>
        <v/>
      </c>
      <c r="E276" s="1" t="str">
        <f t="shared" si="46"/>
        <v/>
      </c>
      <c r="F276" s="1" t="str">
        <f t="shared" si="47"/>
        <v/>
      </c>
      <c r="H276" s="1" t="str">
        <f>IFERROR((VLOOKUP(G276,Backdata!G:H,2,0)),"")</f>
        <v/>
      </c>
      <c r="M276" s="5"/>
      <c r="N276" s="3">
        <f t="shared" si="51"/>
        <v>0</v>
      </c>
      <c r="O276" s="5"/>
      <c r="P276" s="3">
        <f t="shared" si="52"/>
        <v>0</v>
      </c>
      <c r="Q276" s="3">
        <f t="shared" si="48"/>
        <v>0</v>
      </c>
      <c r="T276" s="27" t="str">
        <f t="shared" si="44"/>
        <v/>
      </c>
      <c r="U276" s="1" t="str">
        <f t="shared" si="49"/>
        <v/>
      </c>
    </row>
    <row r="277" spans="2:21" hidden="1">
      <c r="B277" s="1">
        <f t="shared" si="50"/>
        <v>273</v>
      </c>
      <c r="C277" s="2"/>
      <c r="D277" s="2" t="str">
        <f t="shared" si="45"/>
        <v/>
      </c>
      <c r="E277" s="1" t="str">
        <f t="shared" si="46"/>
        <v/>
      </c>
      <c r="F277" s="1" t="str">
        <f t="shared" si="47"/>
        <v/>
      </c>
      <c r="H277" s="1" t="str">
        <f>IFERROR((VLOOKUP(G277,Backdata!G:H,2,0)),"")</f>
        <v/>
      </c>
      <c r="M277" s="5"/>
      <c r="N277" s="3">
        <f t="shared" si="51"/>
        <v>0</v>
      </c>
      <c r="O277" s="5"/>
      <c r="P277" s="3">
        <f t="shared" si="52"/>
        <v>0</v>
      </c>
      <c r="Q277" s="3">
        <f t="shared" si="48"/>
        <v>0</v>
      </c>
      <c r="T277" s="27" t="str">
        <f t="shared" si="44"/>
        <v/>
      </c>
      <c r="U277" s="1" t="str">
        <f t="shared" si="49"/>
        <v/>
      </c>
    </row>
    <row r="278" spans="2:21" hidden="1">
      <c r="B278" s="1">
        <f t="shared" si="50"/>
        <v>274</v>
      </c>
      <c r="C278" s="2"/>
      <c r="D278" s="2" t="str">
        <f t="shared" si="45"/>
        <v/>
      </c>
      <c r="E278" s="1" t="str">
        <f t="shared" si="46"/>
        <v/>
      </c>
      <c r="F278" s="1" t="str">
        <f t="shared" si="47"/>
        <v/>
      </c>
      <c r="H278" s="1" t="str">
        <f>IFERROR((VLOOKUP(G278,Backdata!G:H,2,0)),"")</f>
        <v/>
      </c>
      <c r="M278" s="5"/>
      <c r="N278" s="3">
        <f t="shared" si="51"/>
        <v>0</v>
      </c>
      <c r="O278" s="5"/>
      <c r="P278" s="3">
        <f t="shared" si="52"/>
        <v>0</v>
      </c>
      <c r="Q278" s="3">
        <f t="shared" si="48"/>
        <v>0</v>
      </c>
      <c r="T278" s="27" t="str">
        <f t="shared" si="44"/>
        <v/>
      </c>
      <c r="U278" s="1" t="str">
        <f t="shared" si="49"/>
        <v/>
      </c>
    </row>
    <row r="279" spans="2:21" hidden="1">
      <c r="B279" s="1">
        <f t="shared" si="50"/>
        <v>275</v>
      </c>
      <c r="C279" s="2"/>
      <c r="D279" s="2" t="str">
        <f t="shared" si="45"/>
        <v/>
      </c>
      <c r="E279" s="1" t="str">
        <f t="shared" si="46"/>
        <v/>
      </c>
      <c r="F279" s="1" t="str">
        <f t="shared" si="47"/>
        <v/>
      </c>
      <c r="H279" s="1" t="str">
        <f>IFERROR((VLOOKUP(G279,Backdata!G:H,2,0)),"")</f>
        <v/>
      </c>
      <c r="M279" s="5"/>
      <c r="N279" s="3">
        <f t="shared" si="51"/>
        <v>0</v>
      </c>
      <c r="O279" s="5"/>
      <c r="P279" s="3">
        <f t="shared" si="52"/>
        <v>0</v>
      </c>
      <c r="Q279" s="3">
        <f t="shared" si="48"/>
        <v>0</v>
      </c>
      <c r="T279" s="27" t="str">
        <f t="shared" si="44"/>
        <v/>
      </c>
      <c r="U279" s="1" t="str">
        <f t="shared" si="49"/>
        <v/>
      </c>
    </row>
    <row r="280" spans="2:21" hidden="1">
      <c r="B280" s="1">
        <f t="shared" si="50"/>
        <v>276</v>
      </c>
      <c r="C280" s="2"/>
      <c r="D280" s="2" t="str">
        <f t="shared" si="45"/>
        <v/>
      </c>
      <c r="E280" s="1" t="str">
        <f t="shared" si="46"/>
        <v/>
      </c>
      <c r="F280" s="1" t="str">
        <f t="shared" si="47"/>
        <v/>
      </c>
      <c r="H280" s="1" t="str">
        <f>IFERROR((VLOOKUP(G280,Backdata!G:H,2,0)),"")</f>
        <v/>
      </c>
      <c r="M280" s="5"/>
      <c r="N280" s="3">
        <f t="shared" si="51"/>
        <v>0</v>
      </c>
      <c r="O280" s="5"/>
      <c r="P280" s="3">
        <f t="shared" si="52"/>
        <v>0</v>
      </c>
      <c r="Q280" s="3">
        <f t="shared" si="48"/>
        <v>0</v>
      </c>
      <c r="T280" s="27" t="str">
        <f t="shared" si="44"/>
        <v/>
      </c>
      <c r="U280" s="1" t="str">
        <f t="shared" si="49"/>
        <v/>
      </c>
    </row>
    <row r="281" spans="2:21" hidden="1">
      <c r="B281" s="1">
        <f t="shared" si="50"/>
        <v>277</v>
      </c>
      <c r="C281" s="2"/>
      <c r="D281" s="2" t="str">
        <f t="shared" si="45"/>
        <v/>
      </c>
      <c r="E281" s="1" t="str">
        <f t="shared" si="46"/>
        <v/>
      </c>
      <c r="F281" s="1" t="str">
        <f t="shared" si="47"/>
        <v/>
      </c>
      <c r="H281" s="1" t="str">
        <f>IFERROR((VLOOKUP(G281,Backdata!G:H,2,0)),"")</f>
        <v/>
      </c>
      <c r="M281" s="5"/>
      <c r="N281" s="3">
        <f t="shared" si="51"/>
        <v>0</v>
      </c>
      <c r="O281" s="5"/>
      <c r="P281" s="3">
        <f t="shared" si="52"/>
        <v>0</v>
      </c>
      <c r="Q281" s="3">
        <f t="shared" si="48"/>
        <v>0</v>
      </c>
      <c r="T281" s="27" t="str">
        <f t="shared" si="44"/>
        <v/>
      </c>
      <c r="U281" s="1" t="str">
        <f t="shared" si="49"/>
        <v/>
      </c>
    </row>
    <row r="282" spans="2:21" hidden="1">
      <c r="B282" s="1">
        <f t="shared" si="50"/>
        <v>278</v>
      </c>
      <c r="C282" s="2"/>
      <c r="D282" s="2" t="str">
        <f t="shared" si="45"/>
        <v/>
      </c>
      <c r="E282" s="1" t="str">
        <f t="shared" si="46"/>
        <v/>
      </c>
      <c r="F282" s="1" t="str">
        <f t="shared" si="47"/>
        <v/>
      </c>
      <c r="H282" s="1" t="str">
        <f>IFERROR((VLOOKUP(G282,Backdata!G:H,2,0)),"")</f>
        <v/>
      </c>
      <c r="M282" s="5"/>
      <c r="N282" s="3">
        <f t="shared" si="51"/>
        <v>0</v>
      </c>
      <c r="O282" s="5"/>
      <c r="P282" s="3">
        <f t="shared" si="52"/>
        <v>0</v>
      </c>
      <c r="Q282" s="3">
        <f t="shared" si="48"/>
        <v>0</v>
      </c>
      <c r="T282" s="27" t="str">
        <f t="shared" si="44"/>
        <v/>
      </c>
      <c r="U282" s="1" t="str">
        <f t="shared" si="49"/>
        <v/>
      </c>
    </row>
    <row r="283" spans="2:21" hidden="1">
      <c r="B283" s="1">
        <f t="shared" si="50"/>
        <v>279</v>
      </c>
      <c r="C283" s="2"/>
      <c r="D283" s="2" t="str">
        <f t="shared" si="45"/>
        <v/>
      </c>
      <c r="E283" s="1" t="str">
        <f t="shared" si="46"/>
        <v/>
      </c>
      <c r="F283" s="1" t="str">
        <f t="shared" si="47"/>
        <v/>
      </c>
      <c r="H283" s="1" t="str">
        <f>IFERROR((VLOOKUP(G283,Backdata!G:H,2,0)),"")</f>
        <v/>
      </c>
      <c r="M283" s="5"/>
      <c r="N283" s="3">
        <f t="shared" si="51"/>
        <v>0</v>
      </c>
      <c r="O283" s="5"/>
      <c r="P283" s="3">
        <f t="shared" si="52"/>
        <v>0</v>
      </c>
      <c r="Q283" s="3">
        <f t="shared" si="48"/>
        <v>0</v>
      </c>
      <c r="T283" s="27" t="str">
        <f t="shared" si="44"/>
        <v/>
      </c>
      <c r="U283" s="1" t="str">
        <f t="shared" si="49"/>
        <v/>
      </c>
    </row>
    <row r="284" spans="2:21" hidden="1">
      <c r="B284" s="1">
        <f t="shared" si="50"/>
        <v>280</v>
      </c>
      <c r="C284" s="2"/>
      <c r="D284" s="2" t="str">
        <f t="shared" si="45"/>
        <v/>
      </c>
      <c r="E284" s="1" t="str">
        <f t="shared" si="46"/>
        <v/>
      </c>
      <c r="F284" s="1" t="str">
        <f t="shared" si="47"/>
        <v/>
      </c>
      <c r="H284" s="1" t="str">
        <f>IFERROR((VLOOKUP(G284,Backdata!G:H,2,0)),"")</f>
        <v/>
      </c>
      <c r="M284" s="5"/>
      <c r="N284" s="3">
        <f t="shared" si="51"/>
        <v>0</v>
      </c>
      <c r="O284" s="5"/>
      <c r="P284" s="3">
        <f t="shared" si="52"/>
        <v>0</v>
      </c>
      <c r="Q284" s="3">
        <f t="shared" si="48"/>
        <v>0</v>
      </c>
      <c r="T284" s="27" t="str">
        <f t="shared" si="44"/>
        <v/>
      </c>
      <c r="U284" s="1" t="str">
        <f t="shared" si="49"/>
        <v/>
      </c>
    </row>
    <row r="285" spans="2:21" hidden="1">
      <c r="B285" s="1">
        <f t="shared" si="50"/>
        <v>281</v>
      </c>
      <c r="C285" s="2"/>
      <c r="D285" s="2" t="str">
        <f t="shared" si="45"/>
        <v/>
      </c>
      <c r="E285" s="1" t="str">
        <f t="shared" si="46"/>
        <v/>
      </c>
      <c r="F285" s="1" t="str">
        <f t="shared" si="47"/>
        <v/>
      </c>
      <c r="H285" s="1" t="str">
        <f>IFERROR((VLOOKUP(G285,Backdata!G:H,2,0)),"")</f>
        <v/>
      </c>
      <c r="M285" s="5"/>
      <c r="N285" s="3">
        <f t="shared" si="51"/>
        <v>0</v>
      </c>
      <c r="O285" s="5"/>
      <c r="P285" s="3">
        <f t="shared" si="52"/>
        <v>0</v>
      </c>
      <c r="Q285" s="3">
        <f t="shared" si="48"/>
        <v>0</v>
      </c>
      <c r="T285" s="27" t="str">
        <f t="shared" si="44"/>
        <v/>
      </c>
      <c r="U285" s="1" t="str">
        <f t="shared" si="49"/>
        <v/>
      </c>
    </row>
    <row r="286" spans="2:21" hidden="1">
      <c r="B286" s="1">
        <f t="shared" si="50"/>
        <v>282</v>
      </c>
      <c r="C286" s="2"/>
      <c r="D286" s="2" t="str">
        <f t="shared" si="45"/>
        <v/>
      </c>
      <c r="E286" s="1" t="str">
        <f t="shared" si="46"/>
        <v/>
      </c>
      <c r="F286" s="1" t="str">
        <f t="shared" si="47"/>
        <v/>
      </c>
      <c r="H286" s="1" t="str">
        <f>IFERROR((VLOOKUP(G286,Backdata!G:H,2,0)),"")</f>
        <v/>
      </c>
      <c r="M286" s="5"/>
      <c r="N286" s="3">
        <f t="shared" si="51"/>
        <v>0</v>
      </c>
      <c r="O286" s="5"/>
      <c r="P286" s="3">
        <f t="shared" si="52"/>
        <v>0</v>
      </c>
      <c r="Q286" s="3">
        <f t="shared" si="48"/>
        <v>0</v>
      </c>
      <c r="T286" s="27" t="str">
        <f t="shared" si="44"/>
        <v/>
      </c>
      <c r="U286" s="1" t="str">
        <f t="shared" si="49"/>
        <v/>
      </c>
    </row>
    <row r="287" spans="2:21" hidden="1">
      <c r="B287" s="1">
        <f t="shared" si="50"/>
        <v>283</v>
      </c>
      <c r="C287" s="2"/>
      <c r="D287" s="2" t="str">
        <f t="shared" si="45"/>
        <v/>
      </c>
      <c r="E287" s="1" t="str">
        <f t="shared" si="46"/>
        <v/>
      </c>
      <c r="F287" s="1" t="str">
        <f t="shared" si="47"/>
        <v/>
      </c>
      <c r="H287" s="1" t="str">
        <f>IFERROR((VLOOKUP(G287,Backdata!G:H,2,0)),"")</f>
        <v/>
      </c>
      <c r="M287" s="5"/>
      <c r="N287" s="3">
        <f t="shared" si="51"/>
        <v>0</v>
      </c>
      <c r="O287" s="5"/>
      <c r="P287" s="3">
        <f t="shared" si="52"/>
        <v>0</v>
      </c>
      <c r="Q287" s="3">
        <f t="shared" si="48"/>
        <v>0</v>
      </c>
      <c r="T287" s="27" t="str">
        <f t="shared" si="44"/>
        <v/>
      </c>
      <c r="U287" s="1" t="str">
        <f t="shared" si="49"/>
        <v/>
      </c>
    </row>
    <row r="288" spans="2:21" hidden="1">
      <c r="B288" s="1">
        <f t="shared" si="50"/>
        <v>284</v>
      </c>
      <c r="C288" s="2"/>
      <c r="D288" s="2" t="str">
        <f t="shared" si="45"/>
        <v/>
      </c>
      <c r="E288" s="1" t="str">
        <f t="shared" si="46"/>
        <v/>
      </c>
      <c r="F288" s="1" t="str">
        <f t="shared" si="47"/>
        <v/>
      </c>
      <c r="H288" s="1" t="str">
        <f>IFERROR((VLOOKUP(G288,Backdata!G:H,2,0)),"")</f>
        <v/>
      </c>
      <c r="M288" s="5"/>
      <c r="N288" s="3">
        <f t="shared" si="51"/>
        <v>0</v>
      </c>
      <c r="O288" s="5"/>
      <c r="P288" s="3">
        <f t="shared" si="52"/>
        <v>0</v>
      </c>
      <c r="Q288" s="3">
        <f t="shared" si="48"/>
        <v>0</v>
      </c>
      <c r="T288" s="27" t="str">
        <f t="shared" si="44"/>
        <v/>
      </c>
      <c r="U288" s="1" t="str">
        <f t="shared" si="49"/>
        <v/>
      </c>
    </row>
    <row r="289" spans="2:21" hidden="1">
      <c r="B289" s="1">
        <f t="shared" si="50"/>
        <v>285</v>
      </c>
      <c r="C289" s="2"/>
      <c r="D289" s="2" t="str">
        <f t="shared" si="45"/>
        <v/>
      </c>
      <c r="E289" s="1" t="str">
        <f t="shared" si="46"/>
        <v/>
      </c>
      <c r="F289" s="1" t="str">
        <f t="shared" si="47"/>
        <v/>
      </c>
      <c r="H289" s="1" t="str">
        <f>IFERROR((VLOOKUP(G289,Backdata!G:H,2,0)),"")</f>
        <v/>
      </c>
      <c r="M289" s="5"/>
      <c r="N289" s="3">
        <f t="shared" si="51"/>
        <v>0</v>
      </c>
      <c r="O289" s="5"/>
      <c r="P289" s="3">
        <f t="shared" si="52"/>
        <v>0</v>
      </c>
      <c r="Q289" s="3">
        <f t="shared" si="48"/>
        <v>0</v>
      </c>
      <c r="T289" s="27" t="str">
        <f t="shared" si="44"/>
        <v/>
      </c>
      <c r="U289" s="1" t="str">
        <f t="shared" si="49"/>
        <v/>
      </c>
    </row>
    <row r="290" spans="2:21" hidden="1">
      <c r="B290" s="1">
        <f t="shared" si="50"/>
        <v>286</v>
      </c>
      <c r="C290" s="2"/>
      <c r="D290" s="2" t="str">
        <f t="shared" si="45"/>
        <v/>
      </c>
      <c r="E290" s="1" t="str">
        <f t="shared" si="46"/>
        <v/>
      </c>
      <c r="F290" s="1" t="str">
        <f t="shared" si="47"/>
        <v/>
      </c>
      <c r="H290" s="1" t="str">
        <f>IFERROR((VLOOKUP(G290,Backdata!G:H,2,0)),"")</f>
        <v/>
      </c>
      <c r="M290" s="5"/>
      <c r="N290" s="3">
        <f t="shared" si="51"/>
        <v>0</v>
      </c>
      <c r="O290" s="5"/>
      <c r="P290" s="3">
        <f t="shared" si="52"/>
        <v>0</v>
      </c>
      <c r="Q290" s="3">
        <f t="shared" si="48"/>
        <v>0</v>
      </c>
      <c r="T290" s="27" t="str">
        <f t="shared" si="44"/>
        <v/>
      </c>
      <c r="U290" s="1" t="str">
        <f t="shared" si="49"/>
        <v/>
      </c>
    </row>
    <row r="291" spans="2:21" hidden="1">
      <c r="B291" s="1">
        <f t="shared" si="50"/>
        <v>287</v>
      </c>
      <c r="C291" s="2"/>
      <c r="D291" s="2" t="str">
        <f t="shared" si="45"/>
        <v/>
      </c>
      <c r="E291" s="1" t="str">
        <f t="shared" si="46"/>
        <v/>
      </c>
      <c r="F291" s="1" t="str">
        <f t="shared" si="47"/>
        <v/>
      </c>
      <c r="H291" s="1" t="str">
        <f>IFERROR((VLOOKUP(G291,Backdata!G:H,2,0)),"")</f>
        <v/>
      </c>
      <c r="M291" s="5"/>
      <c r="N291" s="3">
        <f t="shared" si="51"/>
        <v>0</v>
      </c>
      <c r="O291" s="5"/>
      <c r="P291" s="3">
        <f t="shared" si="52"/>
        <v>0</v>
      </c>
      <c r="Q291" s="3">
        <f t="shared" si="48"/>
        <v>0</v>
      </c>
      <c r="T291" s="27" t="str">
        <f t="shared" si="44"/>
        <v/>
      </c>
      <c r="U291" s="1" t="str">
        <f t="shared" si="49"/>
        <v/>
      </c>
    </row>
    <row r="292" spans="2:21" hidden="1">
      <c r="B292" s="1">
        <f t="shared" si="50"/>
        <v>288</v>
      </c>
      <c r="C292" s="2"/>
      <c r="D292" s="2" t="str">
        <f t="shared" si="45"/>
        <v/>
      </c>
      <c r="E292" s="1" t="str">
        <f t="shared" si="46"/>
        <v/>
      </c>
      <c r="F292" s="1" t="str">
        <f t="shared" si="47"/>
        <v/>
      </c>
      <c r="H292" s="1" t="str">
        <f>IFERROR((VLOOKUP(G292,Backdata!G:H,2,0)),"")</f>
        <v/>
      </c>
      <c r="M292" s="5"/>
      <c r="N292" s="3">
        <f t="shared" si="51"/>
        <v>0</v>
      </c>
      <c r="O292" s="5"/>
      <c r="P292" s="3">
        <f t="shared" si="52"/>
        <v>0</v>
      </c>
      <c r="Q292" s="3">
        <f t="shared" si="48"/>
        <v>0</v>
      </c>
      <c r="T292" s="27" t="str">
        <f t="shared" si="44"/>
        <v/>
      </c>
      <c r="U292" s="1" t="str">
        <f t="shared" si="49"/>
        <v/>
      </c>
    </row>
    <row r="293" spans="2:21" hidden="1">
      <c r="B293" s="1">
        <f t="shared" si="50"/>
        <v>289</v>
      </c>
      <c r="C293" s="2"/>
      <c r="D293" s="2" t="str">
        <f t="shared" si="45"/>
        <v/>
      </c>
      <c r="E293" s="1" t="str">
        <f t="shared" si="46"/>
        <v/>
      </c>
      <c r="F293" s="1" t="str">
        <f t="shared" si="47"/>
        <v/>
      </c>
      <c r="H293" s="1" t="str">
        <f>IFERROR((VLOOKUP(G293,Backdata!G:H,2,0)),"")</f>
        <v/>
      </c>
      <c r="M293" s="5"/>
      <c r="N293" s="3">
        <f t="shared" si="51"/>
        <v>0</v>
      </c>
      <c r="O293" s="5"/>
      <c r="P293" s="3">
        <f t="shared" si="52"/>
        <v>0</v>
      </c>
      <c r="Q293" s="3">
        <f t="shared" si="48"/>
        <v>0</v>
      </c>
      <c r="T293" s="27" t="str">
        <f t="shared" si="44"/>
        <v/>
      </c>
      <c r="U293" s="1" t="str">
        <f t="shared" si="49"/>
        <v/>
      </c>
    </row>
    <row r="294" spans="2:21" hidden="1">
      <c r="B294" s="1">
        <f t="shared" si="50"/>
        <v>290</v>
      </c>
      <c r="C294" s="2"/>
      <c r="D294" s="2" t="str">
        <f t="shared" si="45"/>
        <v/>
      </c>
      <c r="E294" s="1" t="str">
        <f t="shared" si="46"/>
        <v/>
      </c>
      <c r="F294" s="1" t="str">
        <f t="shared" si="47"/>
        <v/>
      </c>
      <c r="H294" s="1" t="str">
        <f>IFERROR((VLOOKUP(G294,Backdata!G:H,2,0)),"")</f>
        <v/>
      </c>
      <c r="M294" s="5"/>
      <c r="N294" s="3">
        <f t="shared" si="51"/>
        <v>0</v>
      </c>
      <c r="O294" s="5"/>
      <c r="P294" s="3">
        <f t="shared" si="52"/>
        <v>0</v>
      </c>
      <c r="Q294" s="3">
        <f t="shared" si="48"/>
        <v>0</v>
      </c>
      <c r="T294" s="27" t="str">
        <f t="shared" si="44"/>
        <v/>
      </c>
      <c r="U294" s="1" t="str">
        <f t="shared" si="49"/>
        <v/>
      </c>
    </row>
    <row r="295" spans="2:21" hidden="1">
      <c r="B295" s="1">
        <f t="shared" si="50"/>
        <v>291</v>
      </c>
      <c r="C295" s="2"/>
      <c r="D295" s="2" t="str">
        <f t="shared" si="45"/>
        <v/>
      </c>
      <c r="E295" s="1" t="str">
        <f t="shared" si="46"/>
        <v/>
      </c>
      <c r="F295" s="1" t="str">
        <f t="shared" si="47"/>
        <v/>
      </c>
      <c r="H295" s="1" t="str">
        <f>IFERROR((VLOOKUP(G295,Backdata!G:H,2,0)),"")</f>
        <v/>
      </c>
      <c r="M295" s="5"/>
      <c r="N295" s="3">
        <f t="shared" si="51"/>
        <v>0</v>
      </c>
      <c r="O295" s="5"/>
      <c r="P295" s="3">
        <f t="shared" si="52"/>
        <v>0</v>
      </c>
      <c r="Q295" s="3">
        <f t="shared" si="48"/>
        <v>0</v>
      </c>
      <c r="T295" s="27" t="str">
        <f t="shared" si="44"/>
        <v/>
      </c>
      <c r="U295" s="1" t="str">
        <f t="shared" si="49"/>
        <v/>
      </c>
    </row>
    <row r="296" spans="2:21" hidden="1">
      <c r="B296" s="1">
        <f t="shared" si="50"/>
        <v>292</v>
      </c>
      <c r="C296" s="2"/>
      <c r="D296" s="2" t="str">
        <f t="shared" si="45"/>
        <v/>
      </c>
      <c r="E296" s="1" t="str">
        <f t="shared" si="46"/>
        <v/>
      </c>
      <c r="F296" s="1" t="str">
        <f t="shared" si="47"/>
        <v/>
      </c>
      <c r="H296" s="1" t="str">
        <f>IFERROR((VLOOKUP(G296,Backdata!G:H,2,0)),"")</f>
        <v/>
      </c>
      <c r="M296" s="5"/>
      <c r="N296" s="3">
        <f t="shared" si="51"/>
        <v>0</v>
      </c>
      <c r="O296" s="5"/>
      <c r="P296" s="3">
        <f t="shared" si="52"/>
        <v>0</v>
      </c>
      <c r="Q296" s="3">
        <f t="shared" si="48"/>
        <v>0</v>
      </c>
      <c r="T296" s="27" t="str">
        <f t="shared" si="44"/>
        <v/>
      </c>
      <c r="U296" s="1" t="str">
        <f t="shared" si="49"/>
        <v/>
      </c>
    </row>
    <row r="297" spans="2:21" hidden="1">
      <c r="B297" s="1">
        <f t="shared" si="50"/>
        <v>293</v>
      </c>
      <c r="C297" s="2"/>
      <c r="D297" s="2" t="str">
        <f t="shared" si="45"/>
        <v/>
      </c>
      <c r="E297" s="1" t="str">
        <f t="shared" si="46"/>
        <v/>
      </c>
      <c r="F297" s="1" t="str">
        <f t="shared" si="47"/>
        <v/>
      </c>
      <c r="H297" s="1" t="str">
        <f>IFERROR((VLOOKUP(G297,Backdata!G:H,2,0)),"")</f>
        <v/>
      </c>
      <c r="M297" s="5"/>
      <c r="N297" s="3">
        <f t="shared" si="51"/>
        <v>0</v>
      </c>
      <c r="O297" s="5"/>
      <c r="P297" s="3">
        <f t="shared" si="52"/>
        <v>0</v>
      </c>
      <c r="Q297" s="3">
        <f t="shared" si="48"/>
        <v>0</v>
      </c>
      <c r="T297" s="27" t="str">
        <f t="shared" si="44"/>
        <v/>
      </c>
      <c r="U297" s="1" t="str">
        <f t="shared" si="49"/>
        <v/>
      </c>
    </row>
    <row r="298" spans="2:21" hidden="1">
      <c r="B298" s="1">
        <f t="shared" si="50"/>
        <v>294</v>
      </c>
      <c r="C298" s="2"/>
      <c r="D298" s="2" t="str">
        <f t="shared" si="45"/>
        <v/>
      </c>
      <c r="E298" s="1" t="str">
        <f t="shared" si="46"/>
        <v/>
      </c>
      <c r="F298" s="1" t="str">
        <f t="shared" si="47"/>
        <v/>
      </c>
      <c r="H298" s="1" t="str">
        <f>IFERROR((VLOOKUP(G298,Backdata!G:H,2,0)),"")</f>
        <v/>
      </c>
      <c r="M298" s="5"/>
      <c r="N298" s="3">
        <f t="shared" si="51"/>
        <v>0</v>
      </c>
      <c r="O298" s="5"/>
      <c r="P298" s="3">
        <f t="shared" si="52"/>
        <v>0</v>
      </c>
      <c r="Q298" s="3">
        <f t="shared" si="48"/>
        <v>0</v>
      </c>
      <c r="T298" s="27" t="str">
        <f t="shared" si="44"/>
        <v/>
      </c>
      <c r="U298" s="1" t="str">
        <f t="shared" si="49"/>
        <v/>
      </c>
    </row>
    <row r="299" spans="2:21" hidden="1">
      <c r="B299" s="1">
        <f t="shared" si="50"/>
        <v>295</v>
      </c>
      <c r="C299" s="2"/>
      <c r="D299" s="2" t="str">
        <f t="shared" si="45"/>
        <v/>
      </c>
      <c r="E299" s="1" t="str">
        <f t="shared" si="46"/>
        <v/>
      </c>
      <c r="F299" s="1" t="str">
        <f t="shared" si="47"/>
        <v/>
      </c>
      <c r="H299" s="1" t="str">
        <f>IFERROR((VLOOKUP(G299,Backdata!G:H,2,0)),"")</f>
        <v/>
      </c>
      <c r="M299" s="5"/>
      <c r="N299" s="3">
        <f t="shared" si="51"/>
        <v>0</v>
      </c>
      <c r="O299" s="5"/>
      <c r="P299" s="3">
        <f t="shared" si="52"/>
        <v>0</v>
      </c>
      <c r="Q299" s="3">
        <f t="shared" si="48"/>
        <v>0</v>
      </c>
      <c r="T299" s="27" t="str">
        <f t="shared" si="44"/>
        <v/>
      </c>
      <c r="U299" s="1" t="str">
        <f t="shared" si="49"/>
        <v/>
      </c>
    </row>
    <row r="300" spans="2:21" hidden="1">
      <c r="B300" s="1">
        <f t="shared" si="50"/>
        <v>296</v>
      </c>
      <c r="C300" s="2"/>
      <c r="D300" s="2" t="str">
        <f t="shared" si="45"/>
        <v/>
      </c>
      <c r="E300" s="1" t="str">
        <f t="shared" si="46"/>
        <v/>
      </c>
      <c r="F300" s="1" t="str">
        <f t="shared" si="47"/>
        <v/>
      </c>
      <c r="H300" s="1" t="str">
        <f>IFERROR((VLOOKUP(G300,Backdata!G:H,2,0)),"")</f>
        <v/>
      </c>
      <c r="M300" s="5"/>
      <c r="N300" s="3">
        <f t="shared" si="51"/>
        <v>0</v>
      </c>
      <c r="O300" s="5"/>
      <c r="P300" s="3">
        <f t="shared" si="52"/>
        <v>0</v>
      </c>
      <c r="Q300" s="3">
        <f t="shared" si="48"/>
        <v>0</v>
      </c>
      <c r="T300" s="27" t="str">
        <f t="shared" si="44"/>
        <v/>
      </c>
      <c r="U300" s="1" t="str">
        <f t="shared" si="49"/>
        <v/>
      </c>
    </row>
    <row r="301" spans="2:21" hidden="1">
      <c r="B301" s="1">
        <f t="shared" si="50"/>
        <v>297</v>
      </c>
      <c r="C301" s="2"/>
      <c r="D301" s="2" t="str">
        <f t="shared" si="45"/>
        <v/>
      </c>
      <c r="E301" s="1" t="str">
        <f t="shared" si="46"/>
        <v/>
      </c>
      <c r="F301" s="1" t="str">
        <f t="shared" si="47"/>
        <v/>
      </c>
      <c r="H301" s="1" t="str">
        <f>IFERROR((VLOOKUP(G301,Backdata!G:H,2,0)),"")</f>
        <v/>
      </c>
      <c r="M301" s="5"/>
      <c r="N301" s="3">
        <f t="shared" si="51"/>
        <v>0</v>
      </c>
      <c r="O301" s="5"/>
      <c r="P301" s="3">
        <f t="shared" si="52"/>
        <v>0</v>
      </c>
      <c r="Q301" s="3">
        <f t="shared" si="48"/>
        <v>0</v>
      </c>
      <c r="T301" s="27" t="str">
        <f t="shared" si="44"/>
        <v/>
      </c>
      <c r="U301" s="1" t="str">
        <f t="shared" si="49"/>
        <v/>
      </c>
    </row>
    <row r="302" spans="2:21" hidden="1">
      <c r="B302" s="1">
        <f t="shared" si="50"/>
        <v>298</v>
      </c>
      <c r="C302" s="2"/>
      <c r="D302" s="2" t="str">
        <f t="shared" si="45"/>
        <v/>
      </c>
      <c r="E302" s="1" t="str">
        <f t="shared" si="46"/>
        <v/>
      </c>
      <c r="F302" s="1" t="str">
        <f t="shared" si="47"/>
        <v/>
      </c>
      <c r="H302" s="1" t="str">
        <f>IFERROR((VLOOKUP(G302,Backdata!G:H,2,0)),"")</f>
        <v/>
      </c>
      <c r="M302" s="5"/>
      <c r="N302" s="3">
        <f t="shared" si="51"/>
        <v>0</v>
      </c>
      <c r="O302" s="5"/>
      <c r="P302" s="3">
        <f t="shared" si="52"/>
        <v>0</v>
      </c>
      <c r="Q302" s="3">
        <f t="shared" si="48"/>
        <v>0</v>
      </c>
      <c r="T302" s="27" t="str">
        <f t="shared" si="44"/>
        <v/>
      </c>
      <c r="U302" s="1" t="str">
        <f t="shared" si="49"/>
        <v/>
      </c>
    </row>
    <row r="303" spans="2:21" hidden="1">
      <c r="B303" s="1">
        <f t="shared" si="50"/>
        <v>299</v>
      </c>
      <c r="C303" s="2"/>
      <c r="D303" s="2" t="str">
        <f t="shared" si="45"/>
        <v/>
      </c>
      <c r="E303" s="1" t="str">
        <f t="shared" si="46"/>
        <v/>
      </c>
      <c r="F303" s="1" t="str">
        <f t="shared" si="47"/>
        <v/>
      </c>
      <c r="H303" s="1" t="str">
        <f>IFERROR((VLOOKUP(G303,Backdata!G:H,2,0)),"")</f>
        <v/>
      </c>
      <c r="M303" s="5"/>
      <c r="N303" s="3">
        <f t="shared" si="51"/>
        <v>0</v>
      </c>
      <c r="O303" s="5"/>
      <c r="P303" s="3">
        <f t="shared" si="52"/>
        <v>0</v>
      </c>
      <c r="Q303" s="3">
        <f t="shared" si="48"/>
        <v>0</v>
      </c>
      <c r="T303" s="27" t="str">
        <f t="shared" si="44"/>
        <v/>
      </c>
      <c r="U303" s="1" t="str">
        <f t="shared" si="49"/>
        <v/>
      </c>
    </row>
    <row r="304" spans="2:21" hidden="1">
      <c r="B304" s="1">
        <f t="shared" si="50"/>
        <v>300</v>
      </c>
      <c r="C304" s="2"/>
      <c r="D304" s="2" t="str">
        <f t="shared" si="45"/>
        <v/>
      </c>
      <c r="E304" s="1" t="str">
        <f t="shared" si="46"/>
        <v/>
      </c>
      <c r="F304" s="1" t="str">
        <f t="shared" si="47"/>
        <v/>
      </c>
      <c r="H304" s="1" t="str">
        <f>IFERROR((VLOOKUP(G304,Backdata!G:H,2,0)),"")</f>
        <v/>
      </c>
      <c r="M304" s="5"/>
      <c r="N304" s="3">
        <f t="shared" si="51"/>
        <v>0</v>
      </c>
      <c r="O304" s="5"/>
      <c r="P304" s="3">
        <f t="shared" si="52"/>
        <v>0</v>
      </c>
      <c r="Q304" s="3">
        <f t="shared" si="48"/>
        <v>0</v>
      </c>
      <c r="T304" s="27" t="str">
        <f t="shared" si="44"/>
        <v/>
      </c>
      <c r="U304" s="1" t="str">
        <f t="shared" si="49"/>
        <v/>
      </c>
    </row>
    <row r="305" spans="2:21" hidden="1">
      <c r="B305" s="1">
        <f t="shared" si="50"/>
        <v>301</v>
      </c>
      <c r="C305" s="2"/>
      <c r="D305" s="2" t="str">
        <f t="shared" si="45"/>
        <v/>
      </c>
      <c r="E305" s="1" t="str">
        <f t="shared" si="46"/>
        <v/>
      </c>
      <c r="F305" s="1" t="str">
        <f t="shared" si="47"/>
        <v/>
      </c>
      <c r="H305" s="1" t="str">
        <f>IFERROR((VLOOKUP(G305,Backdata!G:H,2,0)),"")</f>
        <v/>
      </c>
      <c r="M305" s="5"/>
      <c r="N305" s="3">
        <f t="shared" si="51"/>
        <v>0</v>
      </c>
      <c r="O305" s="5"/>
      <c r="P305" s="3">
        <f t="shared" si="52"/>
        <v>0</v>
      </c>
      <c r="Q305" s="3">
        <f t="shared" si="48"/>
        <v>0</v>
      </c>
      <c r="T305" s="27" t="str">
        <f t="shared" si="44"/>
        <v/>
      </c>
      <c r="U305" s="1" t="str">
        <f t="shared" si="49"/>
        <v/>
      </c>
    </row>
    <row r="306" spans="2:21" hidden="1">
      <c r="B306" s="1">
        <f t="shared" si="50"/>
        <v>302</v>
      </c>
      <c r="C306" s="2"/>
      <c r="D306" s="2" t="str">
        <f t="shared" si="45"/>
        <v/>
      </c>
      <c r="E306" s="1" t="str">
        <f t="shared" si="46"/>
        <v/>
      </c>
      <c r="F306" s="1" t="str">
        <f t="shared" si="47"/>
        <v/>
      </c>
      <c r="H306" s="1" t="str">
        <f>IFERROR((VLOOKUP(G306,Backdata!G:H,2,0)),"")</f>
        <v/>
      </c>
      <c r="M306" s="5"/>
      <c r="N306" s="3">
        <f t="shared" si="51"/>
        <v>0</v>
      </c>
      <c r="O306" s="5"/>
      <c r="P306" s="3">
        <f t="shared" si="52"/>
        <v>0</v>
      </c>
      <c r="Q306" s="3">
        <f t="shared" si="48"/>
        <v>0</v>
      </c>
      <c r="T306" s="27" t="str">
        <f t="shared" si="44"/>
        <v/>
      </c>
      <c r="U306" s="1" t="str">
        <f t="shared" si="49"/>
        <v/>
      </c>
    </row>
    <row r="307" spans="2:21" hidden="1">
      <c r="B307" s="1">
        <f t="shared" si="50"/>
        <v>303</v>
      </c>
      <c r="C307" s="2"/>
      <c r="D307" s="2" t="str">
        <f t="shared" si="45"/>
        <v/>
      </c>
      <c r="E307" s="1" t="str">
        <f t="shared" si="46"/>
        <v/>
      </c>
      <c r="F307" s="1" t="str">
        <f t="shared" si="47"/>
        <v/>
      </c>
      <c r="H307" s="1" t="str">
        <f>IFERROR((VLOOKUP(G307,Backdata!G:H,2,0)),"")</f>
        <v/>
      </c>
      <c r="M307" s="5"/>
      <c r="N307" s="3">
        <f t="shared" si="51"/>
        <v>0</v>
      </c>
      <c r="O307" s="5"/>
      <c r="P307" s="3">
        <f t="shared" si="52"/>
        <v>0</v>
      </c>
      <c r="Q307" s="3">
        <f t="shared" si="48"/>
        <v>0</v>
      </c>
      <c r="T307" s="27" t="str">
        <f t="shared" si="44"/>
        <v/>
      </c>
      <c r="U307" s="1" t="str">
        <f t="shared" si="49"/>
        <v/>
      </c>
    </row>
    <row r="308" spans="2:21" hidden="1">
      <c r="B308" s="1">
        <f t="shared" si="50"/>
        <v>304</v>
      </c>
      <c r="C308" s="2"/>
      <c r="D308" s="2" t="str">
        <f t="shared" si="45"/>
        <v/>
      </c>
      <c r="E308" s="1" t="str">
        <f t="shared" si="46"/>
        <v/>
      </c>
      <c r="F308" s="1" t="str">
        <f t="shared" si="47"/>
        <v/>
      </c>
      <c r="H308" s="1" t="str">
        <f>IFERROR((VLOOKUP(G308,Backdata!G:H,2,0)),"")</f>
        <v/>
      </c>
      <c r="M308" s="5"/>
      <c r="N308" s="3">
        <f t="shared" si="51"/>
        <v>0</v>
      </c>
      <c r="O308" s="5"/>
      <c r="P308" s="3">
        <f t="shared" si="52"/>
        <v>0</v>
      </c>
      <c r="Q308" s="3">
        <f t="shared" si="48"/>
        <v>0</v>
      </c>
      <c r="T308" s="27" t="str">
        <f t="shared" si="44"/>
        <v/>
      </c>
      <c r="U308" s="1" t="str">
        <f t="shared" si="49"/>
        <v/>
      </c>
    </row>
    <row r="309" spans="2:21" hidden="1">
      <c r="B309" s="1">
        <f t="shared" si="50"/>
        <v>305</v>
      </c>
      <c r="C309" s="2"/>
      <c r="D309" s="2" t="str">
        <f t="shared" si="45"/>
        <v/>
      </c>
      <c r="E309" s="1" t="str">
        <f t="shared" si="46"/>
        <v/>
      </c>
      <c r="F309" s="1" t="str">
        <f t="shared" si="47"/>
        <v/>
      </c>
      <c r="H309" s="1" t="str">
        <f>IFERROR((VLOOKUP(G309,Backdata!G:H,2,0)),"")</f>
        <v/>
      </c>
      <c r="M309" s="5"/>
      <c r="N309" s="3">
        <f t="shared" si="51"/>
        <v>0</v>
      </c>
      <c r="O309" s="5"/>
      <c r="P309" s="3">
        <f t="shared" si="52"/>
        <v>0</v>
      </c>
      <c r="Q309" s="3">
        <f t="shared" si="48"/>
        <v>0</v>
      </c>
      <c r="T309" s="27" t="str">
        <f t="shared" si="44"/>
        <v/>
      </c>
      <c r="U309" s="1" t="str">
        <f t="shared" si="49"/>
        <v/>
      </c>
    </row>
    <row r="310" spans="2:21" hidden="1">
      <c r="B310" s="1">
        <f t="shared" si="50"/>
        <v>306</v>
      </c>
      <c r="C310" s="2"/>
      <c r="D310" s="2" t="str">
        <f t="shared" si="45"/>
        <v/>
      </c>
      <c r="E310" s="1" t="str">
        <f t="shared" si="46"/>
        <v/>
      </c>
      <c r="F310" s="1" t="str">
        <f t="shared" si="47"/>
        <v/>
      </c>
      <c r="H310" s="1" t="str">
        <f>IFERROR((VLOOKUP(G310,Backdata!G:H,2,0)),"")</f>
        <v/>
      </c>
      <c r="M310" s="5"/>
      <c r="N310" s="3">
        <f t="shared" si="51"/>
        <v>0</v>
      </c>
      <c r="O310" s="5"/>
      <c r="P310" s="3">
        <f t="shared" si="52"/>
        <v>0</v>
      </c>
      <c r="Q310" s="3">
        <f t="shared" si="48"/>
        <v>0</v>
      </c>
      <c r="T310" s="27" t="str">
        <f t="shared" si="44"/>
        <v/>
      </c>
      <c r="U310" s="1" t="str">
        <f t="shared" si="49"/>
        <v/>
      </c>
    </row>
    <row r="311" spans="2:21" hidden="1">
      <c r="B311" s="1">
        <f t="shared" si="50"/>
        <v>307</v>
      </c>
      <c r="C311" s="2"/>
      <c r="D311" s="2" t="str">
        <f t="shared" si="45"/>
        <v/>
      </c>
      <c r="E311" s="1" t="str">
        <f t="shared" si="46"/>
        <v/>
      </c>
      <c r="F311" s="1" t="str">
        <f t="shared" si="47"/>
        <v/>
      </c>
      <c r="H311" s="1" t="str">
        <f>IFERROR((VLOOKUP(G311,Backdata!G:H,2,0)),"")</f>
        <v/>
      </c>
      <c r="M311" s="5"/>
      <c r="N311" s="3">
        <f t="shared" si="51"/>
        <v>0</v>
      </c>
      <c r="O311" s="5"/>
      <c r="P311" s="3">
        <f t="shared" si="52"/>
        <v>0</v>
      </c>
      <c r="Q311" s="3">
        <f t="shared" si="48"/>
        <v>0</v>
      </c>
      <c r="T311" s="27" t="str">
        <f t="shared" si="44"/>
        <v/>
      </c>
      <c r="U311" s="1" t="str">
        <f t="shared" si="49"/>
        <v/>
      </c>
    </row>
    <row r="312" spans="2:21" hidden="1">
      <c r="B312" s="1">
        <f t="shared" si="50"/>
        <v>308</v>
      </c>
      <c r="C312" s="2"/>
      <c r="D312" s="2" t="str">
        <f t="shared" si="45"/>
        <v/>
      </c>
      <c r="E312" s="1" t="str">
        <f t="shared" si="46"/>
        <v/>
      </c>
      <c r="F312" s="1" t="str">
        <f t="shared" si="47"/>
        <v/>
      </c>
      <c r="H312" s="1" t="str">
        <f>IFERROR((VLOOKUP(G312,Backdata!G:H,2,0)),"")</f>
        <v/>
      </c>
      <c r="M312" s="5"/>
      <c r="N312" s="3">
        <f t="shared" si="51"/>
        <v>0</v>
      </c>
      <c r="O312" s="5"/>
      <c r="P312" s="3">
        <f t="shared" si="52"/>
        <v>0</v>
      </c>
      <c r="Q312" s="3">
        <f t="shared" si="48"/>
        <v>0</v>
      </c>
      <c r="T312" s="27" t="str">
        <f t="shared" si="44"/>
        <v/>
      </c>
      <c r="U312" s="1" t="str">
        <f t="shared" si="49"/>
        <v/>
      </c>
    </row>
    <row r="313" spans="2:21" hidden="1">
      <c r="B313" s="1">
        <f t="shared" si="50"/>
        <v>309</v>
      </c>
      <c r="C313" s="2"/>
      <c r="D313" s="2" t="str">
        <f t="shared" si="45"/>
        <v/>
      </c>
      <c r="E313" s="1" t="str">
        <f t="shared" si="46"/>
        <v/>
      </c>
      <c r="F313" s="1" t="str">
        <f t="shared" si="47"/>
        <v/>
      </c>
      <c r="H313" s="1" t="str">
        <f>IFERROR((VLOOKUP(G313,Backdata!G:H,2,0)),"")</f>
        <v/>
      </c>
      <c r="M313" s="5"/>
      <c r="N313" s="3">
        <f t="shared" si="51"/>
        <v>0</v>
      </c>
      <c r="O313" s="5"/>
      <c r="P313" s="3">
        <f t="shared" si="52"/>
        <v>0</v>
      </c>
      <c r="Q313" s="3">
        <f t="shared" si="48"/>
        <v>0</v>
      </c>
      <c r="T313" s="27" t="str">
        <f t="shared" ref="T313:T376" si="53">IF(OR(I313="타이어",I313=""),"",C313)</f>
        <v/>
      </c>
      <c r="U313" s="1" t="str">
        <f t="shared" si="49"/>
        <v/>
      </c>
    </row>
    <row r="314" spans="2:21" hidden="1">
      <c r="B314" s="1">
        <f t="shared" si="50"/>
        <v>310</v>
      </c>
      <c r="C314" s="2"/>
      <c r="D314" s="2" t="str">
        <f t="shared" si="45"/>
        <v/>
      </c>
      <c r="E314" s="1" t="str">
        <f t="shared" si="46"/>
        <v/>
      </c>
      <c r="F314" s="1" t="str">
        <f t="shared" si="47"/>
        <v/>
      </c>
      <c r="H314" s="1" t="str">
        <f>IFERROR((VLOOKUP(G314,Backdata!G:H,2,0)),"")</f>
        <v/>
      </c>
      <c r="M314" s="5"/>
      <c r="N314" s="3">
        <f t="shared" si="51"/>
        <v>0</v>
      </c>
      <c r="O314" s="5"/>
      <c r="P314" s="3">
        <f t="shared" si="52"/>
        <v>0</v>
      </c>
      <c r="Q314" s="3">
        <f t="shared" si="48"/>
        <v>0</v>
      </c>
      <c r="T314" s="27" t="str">
        <f t="shared" si="53"/>
        <v/>
      </c>
      <c r="U314" s="1" t="str">
        <f t="shared" si="49"/>
        <v/>
      </c>
    </row>
    <row r="315" spans="2:21" hidden="1">
      <c r="B315" s="1">
        <f t="shared" si="50"/>
        <v>311</v>
      </c>
      <c r="C315" s="2"/>
      <c r="D315" s="2" t="str">
        <f t="shared" si="45"/>
        <v/>
      </c>
      <c r="E315" s="1" t="str">
        <f t="shared" si="46"/>
        <v/>
      </c>
      <c r="F315" s="1" t="str">
        <f t="shared" si="47"/>
        <v/>
      </c>
      <c r="H315" s="1" t="str">
        <f>IFERROR((VLOOKUP(G315,Backdata!G:H,2,0)),"")</f>
        <v/>
      </c>
      <c r="M315" s="5"/>
      <c r="N315" s="3">
        <f t="shared" si="51"/>
        <v>0</v>
      </c>
      <c r="O315" s="5"/>
      <c r="P315" s="3">
        <f t="shared" si="52"/>
        <v>0</v>
      </c>
      <c r="Q315" s="3">
        <f t="shared" si="48"/>
        <v>0</v>
      </c>
      <c r="T315" s="27" t="str">
        <f t="shared" si="53"/>
        <v/>
      </c>
      <c r="U315" s="1" t="str">
        <f t="shared" si="49"/>
        <v/>
      </c>
    </row>
    <row r="316" spans="2:21" hidden="1">
      <c r="B316" s="1">
        <f t="shared" si="50"/>
        <v>312</v>
      </c>
      <c r="C316" s="2"/>
      <c r="D316" s="2" t="str">
        <f t="shared" si="45"/>
        <v/>
      </c>
      <c r="E316" s="1" t="str">
        <f t="shared" si="46"/>
        <v/>
      </c>
      <c r="F316" s="1" t="str">
        <f t="shared" si="47"/>
        <v/>
      </c>
      <c r="H316" s="1" t="str">
        <f>IFERROR((VLOOKUP(G316,Backdata!G:H,2,0)),"")</f>
        <v/>
      </c>
      <c r="M316" s="5"/>
      <c r="N316" s="3">
        <f t="shared" si="51"/>
        <v>0</v>
      </c>
      <c r="O316" s="5"/>
      <c r="P316" s="3">
        <f t="shared" si="52"/>
        <v>0</v>
      </c>
      <c r="Q316" s="3">
        <f t="shared" si="48"/>
        <v>0</v>
      </c>
      <c r="T316" s="27" t="str">
        <f t="shared" si="53"/>
        <v/>
      </c>
      <c r="U316" s="1" t="str">
        <f t="shared" si="49"/>
        <v/>
      </c>
    </row>
    <row r="317" spans="2:21" hidden="1">
      <c r="B317" s="1">
        <f t="shared" si="50"/>
        <v>313</v>
      </c>
      <c r="C317" s="2"/>
      <c r="D317" s="2" t="str">
        <f t="shared" si="45"/>
        <v/>
      </c>
      <c r="E317" s="1" t="str">
        <f t="shared" si="46"/>
        <v/>
      </c>
      <c r="F317" s="1" t="str">
        <f t="shared" si="47"/>
        <v/>
      </c>
      <c r="H317" s="1" t="str">
        <f>IFERROR((VLOOKUP(G317,Backdata!G:H,2,0)),"")</f>
        <v/>
      </c>
      <c r="M317" s="5"/>
      <c r="N317" s="3">
        <f t="shared" si="51"/>
        <v>0</v>
      </c>
      <c r="O317" s="5"/>
      <c r="P317" s="3">
        <f t="shared" si="52"/>
        <v>0</v>
      </c>
      <c r="Q317" s="3">
        <f t="shared" si="48"/>
        <v>0</v>
      </c>
      <c r="T317" s="27" t="str">
        <f t="shared" si="53"/>
        <v/>
      </c>
      <c r="U317" s="1" t="str">
        <f t="shared" si="49"/>
        <v/>
      </c>
    </row>
    <row r="318" spans="2:21" hidden="1">
      <c r="B318" s="1">
        <f t="shared" si="50"/>
        <v>314</v>
      </c>
      <c r="C318" s="2"/>
      <c r="D318" s="2" t="str">
        <f t="shared" si="45"/>
        <v/>
      </c>
      <c r="E318" s="1" t="str">
        <f t="shared" si="46"/>
        <v/>
      </c>
      <c r="F318" s="1" t="str">
        <f t="shared" si="47"/>
        <v/>
      </c>
      <c r="H318" s="1" t="str">
        <f>IFERROR((VLOOKUP(G318,Backdata!G:H,2,0)),"")</f>
        <v/>
      </c>
      <c r="M318" s="5"/>
      <c r="N318" s="3">
        <f t="shared" si="51"/>
        <v>0</v>
      </c>
      <c r="O318" s="5"/>
      <c r="P318" s="3">
        <f t="shared" si="52"/>
        <v>0</v>
      </c>
      <c r="Q318" s="3">
        <f t="shared" si="48"/>
        <v>0</v>
      </c>
      <c r="T318" s="27" t="str">
        <f t="shared" si="53"/>
        <v/>
      </c>
      <c r="U318" s="1" t="str">
        <f t="shared" si="49"/>
        <v/>
      </c>
    </row>
    <row r="319" spans="2:21" hidden="1">
      <c r="B319" s="1">
        <f t="shared" si="50"/>
        <v>315</v>
      </c>
      <c r="C319" s="2"/>
      <c r="D319" s="2" t="str">
        <f t="shared" si="45"/>
        <v/>
      </c>
      <c r="E319" s="1" t="str">
        <f t="shared" si="46"/>
        <v/>
      </c>
      <c r="F319" s="1" t="str">
        <f t="shared" si="47"/>
        <v/>
      </c>
      <c r="H319" s="1" t="str">
        <f>IFERROR((VLOOKUP(G319,Backdata!G:H,2,0)),"")</f>
        <v/>
      </c>
      <c r="M319" s="5"/>
      <c r="N319" s="3">
        <f t="shared" si="51"/>
        <v>0</v>
      </c>
      <c r="O319" s="5"/>
      <c r="P319" s="3">
        <f t="shared" si="52"/>
        <v>0</v>
      </c>
      <c r="Q319" s="3">
        <f t="shared" si="48"/>
        <v>0</v>
      </c>
      <c r="T319" s="27" t="str">
        <f t="shared" si="53"/>
        <v/>
      </c>
      <c r="U319" s="1" t="str">
        <f t="shared" si="49"/>
        <v/>
      </c>
    </row>
    <row r="320" spans="2:21" hidden="1">
      <c r="B320" s="1">
        <f t="shared" si="50"/>
        <v>316</v>
      </c>
      <c r="C320" s="2"/>
      <c r="D320" s="2" t="str">
        <f t="shared" si="45"/>
        <v/>
      </c>
      <c r="E320" s="1" t="str">
        <f t="shared" si="46"/>
        <v/>
      </c>
      <c r="F320" s="1" t="str">
        <f t="shared" si="47"/>
        <v/>
      </c>
      <c r="H320" s="1" t="str">
        <f>IFERROR((VLOOKUP(G320,Backdata!G:H,2,0)),"")</f>
        <v/>
      </c>
      <c r="M320" s="5"/>
      <c r="N320" s="3">
        <f t="shared" si="51"/>
        <v>0</v>
      </c>
      <c r="O320" s="5"/>
      <c r="P320" s="3">
        <f t="shared" si="52"/>
        <v>0</v>
      </c>
      <c r="Q320" s="3">
        <f t="shared" si="48"/>
        <v>0</v>
      </c>
      <c r="T320" s="27" t="str">
        <f t="shared" si="53"/>
        <v/>
      </c>
      <c r="U320" s="1" t="str">
        <f t="shared" si="49"/>
        <v/>
      </c>
    </row>
    <row r="321" spans="2:21" hidden="1">
      <c r="B321" s="1">
        <f t="shared" si="50"/>
        <v>317</v>
      </c>
      <c r="C321" s="2"/>
      <c r="D321" s="2" t="str">
        <f t="shared" si="45"/>
        <v/>
      </c>
      <c r="E321" s="1" t="str">
        <f t="shared" si="46"/>
        <v/>
      </c>
      <c r="F321" s="1" t="str">
        <f t="shared" si="47"/>
        <v/>
      </c>
      <c r="H321" s="1" t="str">
        <f>IFERROR((VLOOKUP(G321,Backdata!G:H,2,0)),"")</f>
        <v/>
      </c>
      <c r="M321" s="5"/>
      <c r="N321" s="3">
        <f t="shared" si="51"/>
        <v>0</v>
      </c>
      <c r="O321" s="5"/>
      <c r="P321" s="3">
        <f t="shared" si="52"/>
        <v>0</v>
      </c>
      <c r="Q321" s="3">
        <f t="shared" si="48"/>
        <v>0</v>
      </c>
      <c r="T321" s="27" t="str">
        <f t="shared" si="53"/>
        <v/>
      </c>
      <c r="U321" s="1" t="str">
        <f t="shared" si="49"/>
        <v/>
      </c>
    </row>
    <row r="322" spans="2:21" hidden="1">
      <c r="B322" s="1">
        <f t="shared" si="50"/>
        <v>318</v>
      </c>
      <c r="C322" s="2"/>
      <c r="D322" s="2" t="str">
        <f t="shared" si="45"/>
        <v/>
      </c>
      <c r="E322" s="1" t="str">
        <f t="shared" si="46"/>
        <v/>
      </c>
      <c r="F322" s="1" t="str">
        <f t="shared" si="47"/>
        <v/>
      </c>
      <c r="H322" s="1" t="str">
        <f>IFERROR((VLOOKUP(G322,Backdata!G:H,2,0)),"")</f>
        <v/>
      </c>
      <c r="M322" s="5"/>
      <c r="N322" s="3">
        <f t="shared" si="51"/>
        <v>0</v>
      </c>
      <c r="O322" s="5"/>
      <c r="P322" s="3">
        <f t="shared" si="52"/>
        <v>0</v>
      </c>
      <c r="Q322" s="3">
        <f t="shared" si="48"/>
        <v>0</v>
      </c>
      <c r="T322" s="27" t="str">
        <f t="shared" si="53"/>
        <v/>
      </c>
      <c r="U322" s="1" t="str">
        <f t="shared" si="49"/>
        <v/>
      </c>
    </row>
    <row r="323" spans="2:21" hidden="1">
      <c r="B323" s="1">
        <f t="shared" si="50"/>
        <v>319</v>
      </c>
      <c r="C323" s="2"/>
      <c r="D323" s="2" t="str">
        <f t="shared" si="45"/>
        <v/>
      </c>
      <c r="E323" s="1" t="str">
        <f t="shared" si="46"/>
        <v/>
      </c>
      <c r="F323" s="1" t="str">
        <f t="shared" si="47"/>
        <v/>
      </c>
      <c r="H323" s="1" t="str">
        <f>IFERROR((VLOOKUP(G323,Backdata!G:H,2,0)),"")</f>
        <v/>
      </c>
      <c r="M323" s="5"/>
      <c r="N323" s="3">
        <f t="shared" si="51"/>
        <v>0</v>
      </c>
      <c r="O323" s="5"/>
      <c r="P323" s="3">
        <f t="shared" si="52"/>
        <v>0</v>
      </c>
      <c r="Q323" s="3">
        <f t="shared" si="48"/>
        <v>0</v>
      </c>
      <c r="T323" s="27" t="str">
        <f t="shared" si="53"/>
        <v/>
      </c>
      <c r="U323" s="1" t="str">
        <f t="shared" si="49"/>
        <v/>
      </c>
    </row>
    <row r="324" spans="2:21" hidden="1">
      <c r="B324" s="1">
        <f t="shared" si="50"/>
        <v>320</v>
      </c>
      <c r="C324" s="2"/>
      <c r="D324" s="2" t="str">
        <f t="shared" si="45"/>
        <v/>
      </c>
      <c r="E324" s="1" t="str">
        <f t="shared" si="46"/>
        <v/>
      </c>
      <c r="F324" s="1" t="str">
        <f t="shared" si="47"/>
        <v/>
      </c>
      <c r="H324" s="1" t="str">
        <f>IFERROR((VLOOKUP(G324,Backdata!G:H,2,0)),"")</f>
        <v/>
      </c>
      <c r="M324" s="5"/>
      <c r="N324" s="3">
        <f t="shared" si="51"/>
        <v>0</v>
      </c>
      <c r="O324" s="5"/>
      <c r="P324" s="3">
        <f t="shared" si="52"/>
        <v>0</v>
      </c>
      <c r="Q324" s="3">
        <f t="shared" si="48"/>
        <v>0</v>
      </c>
      <c r="T324" s="27" t="str">
        <f t="shared" si="53"/>
        <v/>
      </c>
      <c r="U324" s="1" t="str">
        <f t="shared" si="49"/>
        <v/>
      </c>
    </row>
    <row r="325" spans="2:21" hidden="1">
      <c r="B325" s="1">
        <f t="shared" si="50"/>
        <v>321</v>
      </c>
      <c r="C325" s="2"/>
      <c r="D325" s="2" t="str">
        <f t="shared" ref="D325:D388" si="54">IF((C325=""),"",(YEAR(C325)&amp;"년"))</f>
        <v/>
      </c>
      <c r="E325" s="1" t="str">
        <f t="shared" ref="E325:E388" si="55">IF((C325=""),"",(MONTH(C325)&amp;"월"))</f>
        <v/>
      </c>
      <c r="F325" s="1" t="str">
        <f t="shared" ref="F325:F388" si="56">CONCATENATE(D325,E325)</f>
        <v/>
      </c>
      <c r="H325" s="1" t="str">
        <f>IFERROR((VLOOKUP(G325,Backdata!G:H,2,0)),"")</f>
        <v/>
      </c>
      <c r="M325" s="5"/>
      <c r="N325" s="3">
        <f t="shared" si="51"/>
        <v>0</v>
      </c>
      <c r="O325" s="5"/>
      <c r="P325" s="3">
        <f t="shared" si="52"/>
        <v>0</v>
      </c>
      <c r="Q325" s="3">
        <f t="shared" ref="Q325:Q388" si="57">N325-P325</f>
        <v>0</v>
      </c>
      <c r="T325" s="27" t="str">
        <f t="shared" si="53"/>
        <v/>
      </c>
      <c r="U325" s="1" t="str">
        <f t="shared" ref="U325:U388" si="58">IF(T325="","","완료")</f>
        <v/>
      </c>
    </row>
    <row r="326" spans="2:21" hidden="1">
      <c r="B326" s="1">
        <f t="shared" ref="B326:B389" si="59">B325+1</f>
        <v>322</v>
      </c>
      <c r="C326" s="2"/>
      <c r="D326" s="2" t="str">
        <f t="shared" si="54"/>
        <v/>
      </c>
      <c r="E326" s="1" t="str">
        <f t="shared" si="55"/>
        <v/>
      </c>
      <c r="F326" s="1" t="str">
        <f t="shared" si="56"/>
        <v/>
      </c>
      <c r="H326" s="1" t="str">
        <f>IFERROR((VLOOKUP(G326,Backdata!G:H,2,0)),"")</f>
        <v/>
      </c>
      <c r="M326" s="5"/>
      <c r="N326" s="3">
        <f t="shared" ref="N326:N389" si="60">M326*L326*1.1</f>
        <v>0</v>
      </c>
      <c r="O326" s="5"/>
      <c r="P326" s="3">
        <f t="shared" ref="P326:P389" si="61">O326*L326*1.1</f>
        <v>0</v>
      </c>
      <c r="Q326" s="3">
        <f t="shared" si="57"/>
        <v>0</v>
      </c>
      <c r="T326" s="27" t="str">
        <f t="shared" si="53"/>
        <v/>
      </c>
      <c r="U326" s="1" t="str">
        <f t="shared" si="58"/>
        <v/>
      </c>
    </row>
    <row r="327" spans="2:21" hidden="1">
      <c r="B327" s="1">
        <f t="shared" si="59"/>
        <v>323</v>
      </c>
      <c r="C327" s="2"/>
      <c r="D327" s="2" t="str">
        <f t="shared" si="54"/>
        <v/>
      </c>
      <c r="E327" s="1" t="str">
        <f t="shared" si="55"/>
        <v/>
      </c>
      <c r="F327" s="1" t="str">
        <f t="shared" si="56"/>
        <v/>
      </c>
      <c r="H327" s="1" t="str">
        <f>IFERROR((VLOOKUP(G327,Backdata!G:H,2,0)),"")</f>
        <v/>
      </c>
      <c r="M327" s="5"/>
      <c r="N327" s="3">
        <f t="shared" si="60"/>
        <v>0</v>
      </c>
      <c r="O327" s="5"/>
      <c r="P327" s="3">
        <f t="shared" si="61"/>
        <v>0</v>
      </c>
      <c r="Q327" s="3">
        <f t="shared" si="57"/>
        <v>0</v>
      </c>
      <c r="T327" s="27" t="str">
        <f t="shared" si="53"/>
        <v/>
      </c>
      <c r="U327" s="1" t="str">
        <f t="shared" si="58"/>
        <v/>
      </c>
    </row>
    <row r="328" spans="2:21" hidden="1">
      <c r="B328" s="1">
        <f t="shared" si="59"/>
        <v>324</v>
      </c>
      <c r="C328" s="2"/>
      <c r="D328" s="2" t="str">
        <f t="shared" si="54"/>
        <v/>
      </c>
      <c r="E328" s="1" t="str">
        <f t="shared" si="55"/>
        <v/>
      </c>
      <c r="F328" s="1" t="str">
        <f t="shared" si="56"/>
        <v/>
      </c>
      <c r="H328" s="1" t="str">
        <f>IFERROR((VLOOKUP(G328,Backdata!G:H,2,0)),"")</f>
        <v/>
      </c>
      <c r="M328" s="5"/>
      <c r="N328" s="3">
        <f t="shared" si="60"/>
        <v>0</v>
      </c>
      <c r="O328" s="5"/>
      <c r="P328" s="3">
        <f t="shared" si="61"/>
        <v>0</v>
      </c>
      <c r="Q328" s="3">
        <f t="shared" si="57"/>
        <v>0</v>
      </c>
      <c r="T328" s="27" t="str">
        <f t="shared" si="53"/>
        <v/>
      </c>
      <c r="U328" s="1" t="str">
        <f t="shared" si="58"/>
        <v/>
      </c>
    </row>
    <row r="329" spans="2:21" hidden="1">
      <c r="B329" s="1">
        <f t="shared" si="59"/>
        <v>325</v>
      </c>
      <c r="C329" s="2"/>
      <c r="D329" s="2" t="str">
        <f t="shared" si="54"/>
        <v/>
      </c>
      <c r="E329" s="1" t="str">
        <f t="shared" si="55"/>
        <v/>
      </c>
      <c r="F329" s="1" t="str">
        <f t="shared" si="56"/>
        <v/>
      </c>
      <c r="H329" s="1" t="str">
        <f>IFERROR((VLOOKUP(G329,Backdata!G:H,2,0)),"")</f>
        <v/>
      </c>
      <c r="M329" s="5"/>
      <c r="N329" s="3">
        <f t="shared" si="60"/>
        <v>0</v>
      </c>
      <c r="O329" s="5"/>
      <c r="P329" s="3">
        <f t="shared" si="61"/>
        <v>0</v>
      </c>
      <c r="Q329" s="3">
        <f t="shared" si="57"/>
        <v>0</v>
      </c>
      <c r="T329" s="27" t="str">
        <f t="shared" si="53"/>
        <v/>
      </c>
      <c r="U329" s="1" t="str">
        <f t="shared" si="58"/>
        <v/>
      </c>
    </row>
    <row r="330" spans="2:21" hidden="1">
      <c r="B330" s="1">
        <f t="shared" si="59"/>
        <v>326</v>
      </c>
      <c r="C330" s="2"/>
      <c r="D330" s="2" t="str">
        <f t="shared" si="54"/>
        <v/>
      </c>
      <c r="E330" s="1" t="str">
        <f t="shared" si="55"/>
        <v/>
      </c>
      <c r="F330" s="1" t="str">
        <f t="shared" si="56"/>
        <v/>
      </c>
      <c r="H330" s="1" t="str">
        <f>IFERROR((VLOOKUP(G330,Backdata!G:H,2,0)),"")</f>
        <v/>
      </c>
      <c r="M330" s="5"/>
      <c r="N330" s="3">
        <f t="shared" si="60"/>
        <v>0</v>
      </c>
      <c r="O330" s="5"/>
      <c r="P330" s="3">
        <f t="shared" si="61"/>
        <v>0</v>
      </c>
      <c r="Q330" s="3">
        <f t="shared" si="57"/>
        <v>0</v>
      </c>
      <c r="T330" s="27" t="str">
        <f t="shared" si="53"/>
        <v/>
      </c>
      <c r="U330" s="1" t="str">
        <f t="shared" si="58"/>
        <v/>
      </c>
    </row>
    <row r="331" spans="2:21" hidden="1">
      <c r="B331" s="1">
        <f t="shared" si="59"/>
        <v>327</v>
      </c>
      <c r="C331" s="2"/>
      <c r="D331" s="2" t="str">
        <f t="shared" si="54"/>
        <v/>
      </c>
      <c r="E331" s="1" t="str">
        <f t="shared" si="55"/>
        <v/>
      </c>
      <c r="F331" s="1" t="str">
        <f t="shared" si="56"/>
        <v/>
      </c>
      <c r="H331" s="1" t="str">
        <f>IFERROR((VLOOKUP(G331,Backdata!G:H,2,0)),"")</f>
        <v/>
      </c>
      <c r="M331" s="5"/>
      <c r="N331" s="3">
        <f t="shared" si="60"/>
        <v>0</v>
      </c>
      <c r="O331" s="5"/>
      <c r="P331" s="3">
        <f t="shared" si="61"/>
        <v>0</v>
      </c>
      <c r="Q331" s="3">
        <f t="shared" si="57"/>
        <v>0</v>
      </c>
      <c r="T331" s="27" t="str">
        <f t="shared" si="53"/>
        <v/>
      </c>
      <c r="U331" s="1" t="str">
        <f t="shared" si="58"/>
        <v/>
      </c>
    </row>
    <row r="332" spans="2:21" hidden="1">
      <c r="B332" s="1">
        <f t="shared" si="59"/>
        <v>328</v>
      </c>
      <c r="C332" s="2"/>
      <c r="D332" s="2" t="str">
        <f t="shared" si="54"/>
        <v/>
      </c>
      <c r="E332" s="1" t="str">
        <f t="shared" si="55"/>
        <v/>
      </c>
      <c r="F332" s="1" t="str">
        <f t="shared" si="56"/>
        <v/>
      </c>
      <c r="H332" s="1" t="str">
        <f>IFERROR((VLOOKUP(G332,Backdata!G:H,2,0)),"")</f>
        <v/>
      </c>
      <c r="M332" s="5"/>
      <c r="N332" s="3">
        <f t="shared" si="60"/>
        <v>0</v>
      </c>
      <c r="O332" s="5"/>
      <c r="P332" s="3">
        <f t="shared" si="61"/>
        <v>0</v>
      </c>
      <c r="Q332" s="3">
        <f t="shared" si="57"/>
        <v>0</v>
      </c>
      <c r="T332" s="27" t="str">
        <f t="shared" si="53"/>
        <v/>
      </c>
      <c r="U332" s="1" t="str">
        <f t="shared" si="58"/>
        <v/>
      </c>
    </row>
    <row r="333" spans="2:21" hidden="1">
      <c r="B333" s="1">
        <f t="shared" si="59"/>
        <v>329</v>
      </c>
      <c r="C333" s="2"/>
      <c r="D333" s="2" t="str">
        <f t="shared" si="54"/>
        <v/>
      </c>
      <c r="E333" s="1" t="str">
        <f t="shared" si="55"/>
        <v/>
      </c>
      <c r="F333" s="1" t="str">
        <f t="shared" si="56"/>
        <v/>
      </c>
      <c r="H333" s="1" t="str">
        <f>IFERROR((VLOOKUP(G333,Backdata!G:H,2,0)),"")</f>
        <v/>
      </c>
      <c r="M333" s="5"/>
      <c r="N333" s="3">
        <f t="shared" si="60"/>
        <v>0</v>
      </c>
      <c r="O333" s="5"/>
      <c r="P333" s="3">
        <f t="shared" si="61"/>
        <v>0</v>
      </c>
      <c r="Q333" s="3">
        <f t="shared" si="57"/>
        <v>0</v>
      </c>
      <c r="T333" s="27" t="str">
        <f t="shared" si="53"/>
        <v/>
      </c>
      <c r="U333" s="1" t="str">
        <f t="shared" si="58"/>
        <v/>
      </c>
    </row>
    <row r="334" spans="2:21" hidden="1">
      <c r="B334" s="1">
        <f t="shared" si="59"/>
        <v>330</v>
      </c>
      <c r="C334" s="2"/>
      <c r="D334" s="2" t="str">
        <f t="shared" si="54"/>
        <v/>
      </c>
      <c r="E334" s="1" t="str">
        <f t="shared" si="55"/>
        <v/>
      </c>
      <c r="F334" s="1" t="str">
        <f t="shared" si="56"/>
        <v/>
      </c>
      <c r="H334" s="1" t="str">
        <f>IFERROR((VLOOKUP(G334,Backdata!G:H,2,0)),"")</f>
        <v/>
      </c>
      <c r="M334" s="5"/>
      <c r="N334" s="3">
        <f t="shared" si="60"/>
        <v>0</v>
      </c>
      <c r="O334" s="5"/>
      <c r="P334" s="3">
        <f t="shared" si="61"/>
        <v>0</v>
      </c>
      <c r="Q334" s="3">
        <f t="shared" si="57"/>
        <v>0</v>
      </c>
      <c r="T334" s="27" t="str">
        <f t="shared" si="53"/>
        <v/>
      </c>
      <c r="U334" s="1" t="str">
        <f t="shared" si="58"/>
        <v/>
      </c>
    </row>
    <row r="335" spans="2:21" hidden="1">
      <c r="B335" s="1">
        <f t="shared" si="59"/>
        <v>331</v>
      </c>
      <c r="C335" s="2"/>
      <c r="D335" s="2" t="str">
        <f t="shared" si="54"/>
        <v/>
      </c>
      <c r="E335" s="1" t="str">
        <f t="shared" si="55"/>
        <v/>
      </c>
      <c r="F335" s="1" t="str">
        <f t="shared" si="56"/>
        <v/>
      </c>
      <c r="H335" s="1" t="str">
        <f>IFERROR((VLOOKUP(G335,Backdata!G:H,2,0)),"")</f>
        <v/>
      </c>
      <c r="M335" s="5"/>
      <c r="N335" s="3">
        <f t="shared" si="60"/>
        <v>0</v>
      </c>
      <c r="O335" s="5"/>
      <c r="P335" s="3">
        <f t="shared" si="61"/>
        <v>0</v>
      </c>
      <c r="Q335" s="3">
        <f t="shared" si="57"/>
        <v>0</v>
      </c>
      <c r="T335" s="27" t="str">
        <f t="shared" si="53"/>
        <v/>
      </c>
      <c r="U335" s="1" t="str">
        <f t="shared" si="58"/>
        <v/>
      </c>
    </row>
    <row r="336" spans="2:21" hidden="1">
      <c r="B336" s="1">
        <f t="shared" si="59"/>
        <v>332</v>
      </c>
      <c r="C336" s="2"/>
      <c r="D336" s="2" t="str">
        <f t="shared" si="54"/>
        <v/>
      </c>
      <c r="E336" s="1" t="str">
        <f t="shared" si="55"/>
        <v/>
      </c>
      <c r="F336" s="1" t="str">
        <f t="shared" si="56"/>
        <v/>
      </c>
      <c r="H336" s="1" t="str">
        <f>IFERROR((VLOOKUP(G336,Backdata!G:H,2,0)),"")</f>
        <v/>
      </c>
      <c r="M336" s="5"/>
      <c r="N336" s="3">
        <f t="shared" si="60"/>
        <v>0</v>
      </c>
      <c r="O336" s="5"/>
      <c r="P336" s="3">
        <f t="shared" si="61"/>
        <v>0</v>
      </c>
      <c r="Q336" s="3">
        <f t="shared" si="57"/>
        <v>0</v>
      </c>
      <c r="T336" s="27" t="str">
        <f t="shared" si="53"/>
        <v/>
      </c>
      <c r="U336" s="1" t="str">
        <f t="shared" si="58"/>
        <v/>
      </c>
    </row>
    <row r="337" spans="2:21" hidden="1">
      <c r="B337" s="1">
        <f t="shared" si="59"/>
        <v>333</v>
      </c>
      <c r="C337" s="2"/>
      <c r="D337" s="2" t="str">
        <f t="shared" si="54"/>
        <v/>
      </c>
      <c r="E337" s="1" t="str">
        <f t="shared" si="55"/>
        <v/>
      </c>
      <c r="F337" s="1" t="str">
        <f t="shared" si="56"/>
        <v/>
      </c>
      <c r="H337" s="1" t="str">
        <f>IFERROR((VLOOKUP(G337,Backdata!G:H,2,0)),"")</f>
        <v/>
      </c>
      <c r="M337" s="5"/>
      <c r="N337" s="3">
        <f t="shared" si="60"/>
        <v>0</v>
      </c>
      <c r="O337" s="5"/>
      <c r="P337" s="3">
        <f t="shared" si="61"/>
        <v>0</v>
      </c>
      <c r="Q337" s="3">
        <f t="shared" si="57"/>
        <v>0</v>
      </c>
      <c r="T337" s="27" t="str">
        <f t="shared" si="53"/>
        <v/>
      </c>
      <c r="U337" s="1" t="str">
        <f t="shared" si="58"/>
        <v/>
      </c>
    </row>
    <row r="338" spans="2:21" hidden="1">
      <c r="B338" s="1">
        <f t="shared" si="59"/>
        <v>334</v>
      </c>
      <c r="C338" s="2"/>
      <c r="D338" s="2" t="str">
        <f t="shared" si="54"/>
        <v/>
      </c>
      <c r="E338" s="1" t="str">
        <f t="shared" si="55"/>
        <v/>
      </c>
      <c r="F338" s="1" t="str">
        <f t="shared" si="56"/>
        <v/>
      </c>
      <c r="H338" s="1" t="str">
        <f>IFERROR((VLOOKUP(G338,Backdata!G:H,2,0)),"")</f>
        <v/>
      </c>
      <c r="M338" s="5"/>
      <c r="N338" s="3">
        <f t="shared" si="60"/>
        <v>0</v>
      </c>
      <c r="O338" s="5"/>
      <c r="P338" s="3">
        <f t="shared" si="61"/>
        <v>0</v>
      </c>
      <c r="Q338" s="3">
        <f t="shared" si="57"/>
        <v>0</v>
      </c>
      <c r="T338" s="27" t="str">
        <f t="shared" si="53"/>
        <v/>
      </c>
      <c r="U338" s="1" t="str">
        <f t="shared" si="58"/>
        <v/>
      </c>
    </row>
    <row r="339" spans="2:21" hidden="1">
      <c r="B339" s="1">
        <f t="shared" si="59"/>
        <v>335</v>
      </c>
      <c r="C339" s="2"/>
      <c r="D339" s="2" t="str">
        <f t="shared" si="54"/>
        <v/>
      </c>
      <c r="E339" s="1" t="str">
        <f t="shared" si="55"/>
        <v/>
      </c>
      <c r="F339" s="1" t="str">
        <f t="shared" si="56"/>
        <v/>
      </c>
      <c r="H339" s="1" t="str">
        <f>IFERROR((VLOOKUP(G339,Backdata!G:H,2,0)),"")</f>
        <v/>
      </c>
      <c r="M339" s="5"/>
      <c r="N339" s="3">
        <f t="shared" si="60"/>
        <v>0</v>
      </c>
      <c r="O339" s="5"/>
      <c r="P339" s="3">
        <f t="shared" si="61"/>
        <v>0</v>
      </c>
      <c r="Q339" s="3">
        <f t="shared" si="57"/>
        <v>0</v>
      </c>
      <c r="T339" s="27" t="str">
        <f t="shared" si="53"/>
        <v/>
      </c>
      <c r="U339" s="1" t="str">
        <f t="shared" si="58"/>
        <v/>
      </c>
    </row>
    <row r="340" spans="2:21" hidden="1">
      <c r="B340" s="1">
        <f t="shared" si="59"/>
        <v>336</v>
      </c>
      <c r="C340" s="2"/>
      <c r="D340" s="2" t="str">
        <f t="shared" si="54"/>
        <v/>
      </c>
      <c r="E340" s="1" t="str">
        <f t="shared" si="55"/>
        <v/>
      </c>
      <c r="F340" s="1" t="str">
        <f t="shared" si="56"/>
        <v/>
      </c>
      <c r="H340" s="1" t="str">
        <f>IFERROR((VLOOKUP(G340,Backdata!G:H,2,0)),"")</f>
        <v/>
      </c>
      <c r="M340" s="5"/>
      <c r="N340" s="3">
        <f t="shared" si="60"/>
        <v>0</v>
      </c>
      <c r="O340" s="5"/>
      <c r="P340" s="3">
        <f t="shared" si="61"/>
        <v>0</v>
      </c>
      <c r="Q340" s="3">
        <f t="shared" si="57"/>
        <v>0</v>
      </c>
      <c r="T340" s="27" t="str">
        <f t="shared" si="53"/>
        <v/>
      </c>
      <c r="U340" s="1" t="str">
        <f t="shared" si="58"/>
        <v/>
      </c>
    </row>
    <row r="341" spans="2:21" hidden="1">
      <c r="B341" s="1">
        <f t="shared" si="59"/>
        <v>337</v>
      </c>
      <c r="C341" s="2"/>
      <c r="D341" s="2" t="str">
        <f t="shared" si="54"/>
        <v/>
      </c>
      <c r="E341" s="1" t="str">
        <f t="shared" si="55"/>
        <v/>
      </c>
      <c r="F341" s="1" t="str">
        <f t="shared" si="56"/>
        <v/>
      </c>
      <c r="H341" s="1" t="str">
        <f>IFERROR((VLOOKUP(G341,Backdata!G:H,2,0)),"")</f>
        <v/>
      </c>
      <c r="M341" s="5"/>
      <c r="N341" s="3">
        <f t="shared" si="60"/>
        <v>0</v>
      </c>
      <c r="O341" s="5"/>
      <c r="P341" s="3">
        <f t="shared" si="61"/>
        <v>0</v>
      </c>
      <c r="Q341" s="3">
        <f t="shared" si="57"/>
        <v>0</v>
      </c>
      <c r="T341" s="27" t="str">
        <f t="shared" si="53"/>
        <v/>
      </c>
      <c r="U341" s="1" t="str">
        <f t="shared" si="58"/>
        <v/>
      </c>
    </row>
    <row r="342" spans="2:21" hidden="1">
      <c r="B342" s="1">
        <f t="shared" si="59"/>
        <v>338</v>
      </c>
      <c r="C342" s="2"/>
      <c r="D342" s="2" t="str">
        <f t="shared" si="54"/>
        <v/>
      </c>
      <c r="E342" s="1" t="str">
        <f t="shared" si="55"/>
        <v/>
      </c>
      <c r="F342" s="1" t="str">
        <f t="shared" si="56"/>
        <v/>
      </c>
      <c r="H342" s="1" t="str">
        <f>IFERROR((VLOOKUP(G342,Backdata!G:H,2,0)),"")</f>
        <v/>
      </c>
      <c r="M342" s="5"/>
      <c r="N342" s="3">
        <f t="shared" si="60"/>
        <v>0</v>
      </c>
      <c r="O342" s="5"/>
      <c r="P342" s="3">
        <f t="shared" si="61"/>
        <v>0</v>
      </c>
      <c r="Q342" s="3">
        <f t="shared" si="57"/>
        <v>0</v>
      </c>
      <c r="T342" s="27" t="str">
        <f t="shared" si="53"/>
        <v/>
      </c>
      <c r="U342" s="1" t="str">
        <f t="shared" si="58"/>
        <v/>
      </c>
    </row>
    <row r="343" spans="2:21" hidden="1">
      <c r="B343" s="1">
        <f t="shared" si="59"/>
        <v>339</v>
      </c>
      <c r="C343" s="2"/>
      <c r="D343" s="2" t="str">
        <f t="shared" si="54"/>
        <v/>
      </c>
      <c r="E343" s="1" t="str">
        <f t="shared" si="55"/>
        <v/>
      </c>
      <c r="F343" s="1" t="str">
        <f t="shared" si="56"/>
        <v/>
      </c>
      <c r="H343" s="1" t="str">
        <f>IFERROR((VLOOKUP(G343,Backdata!G:H,2,0)),"")</f>
        <v/>
      </c>
      <c r="M343" s="5"/>
      <c r="N343" s="3">
        <f t="shared" si="60"/>
        <v>0</v>
      </c>
      <c r="O343" s="5"/>
      <c r="P343" s="3">
        <f t="shared" si="61"/>
        <v>0</v>
      </c>
      <c r="Q343" s="3">
        <f t="shared" si="57"/>
        <v>0</v>
      </c>
      <c r="T343" s="27" t="str">
        <f t="shared" si="53"/>
        <v/>
      </c>
      <c r="U343" s="1" t="str">
        <f t="shared" si="58"/>
        <v/>
      </c>
    </row>
    <row r="344" spans="2:21" hidden="1">
      <c r="B344" s="1">
        <f t="shared" si="59"/>
        <v>340</v>
      </c>
      <c r="C344" s="2"/>
      <c r="D344" s="2" t="str">
        <f t="shared" si="54"/>
        <v/>
      </c>
      <c r="E344" s="1" t="str">
        <f t="shared" si="55"/>
        <v/>
      </c>
      <c r="F344" s="1" t="str">
        <f t="shared" si="56"/>
        <v/>
      </c>
      <c r="H344" s="1" t="str">
        <f>IFERROR((VLOOKUP(G344,Backdata!G:H,2,0)),"")</f>
        <v/>
      </c>
      <c r="M344" s="5"/>
      <c r="N344" s="3">
        <f t="shared" si="60"/>
        <v>0</v>
      </c>
      <c r="O344" s="5"/>
      <c r="P344" s="3">
        <f t="shared" si="61"/>
        <v>0</v>
      </c>
      <c r="Q344" s="3">
        <f t="shared" si="57"/>
        <v>0</v>
      </c>
      <c r="T344" s="27" t="str">
        <f t="shared" si="53"/>
        <v/>
      </c>
      <c r="U344" s="1" t="str">
        <f t="shared" si="58"/>
        <v/>
      </c>
    </row>
    <row r="345" spans="2:21" hidden="1">
      <c r="B345" s="1">
        <f t="shared" si="59"/>
        <v>341</v>
      </c>
      <c r="C345" s="2"/>
      <c r="D345" s="2" t="str">
        <f t="shared" si="54"/>
        <v/>
      </c>
      <c r="E345" s="1" t="str">
        <f t="shared" si="55"/>
        <v/>
      </c>
      <c r="F345" s="1" t="str">
        <f t="shared" si="56"/>
        <v/>
      </c>
      <c r="H345" s="1" t="str">
        <f>IFERROR((VLOOKUP(G345,Backdata!G:H,2,0)),"")</f>
        <v/>
      </c>
      <c r="M345" s="5"/>
      <c r="N345" s="3">
        <f t="shared" si="60"/>
        <v>0</v>
      </c>
      <c r="O345" s="5"/>
      <c r="P345" s="3">
        <f t="shared" si="61"/>
        <v>0</v>
      </c>
      <c r="Q345" s="3">
        <f t="shared" si="57"/>
        <v>0</v>
      </c>
      <c r="T345" s="27" t="str">
        <f t="shared" si="53"/>
        <v/>
      </c>
      <c r="U345" s="1" t="str">
        <f t="shared" si="58"/>
        <v/>
      </c>
    </row>
    <row r="346" spans="2:21" hidden="1">
      <c r="B346" s="1">
        <f t="shared" si="59"/>
        <v>342</v>
      </c>
      <c r="C346" s="2"/>
      <c r="D346" s="2" t="str">
        <f t="shared" si="54"/>
        <v/>
      </c>
      <c r="E346" s="1" t="str">
        <f t="shared" si="55"/>
        <v/>
      </c>
      <c r="F346" s="1" t="str">
        <f t="shared" si="56"/>
        <v/>
      </c>
      <c r="H346" s="1" t="str">
        <f>IFERROR((VLOOKUP(G346,Backdata!G:H,2,0)),"")</f>
        <v/>
      </c>
      <c r="M346" s="5"/>
      <c r="N346" s="3">
        <f t="shared" si="60"/>
        <v>0</v>
      </c>
      <c r="O346" s="5"/>
      <c r="P346" s="3">
        <f t="shared" si="61"/>
        <v>0</v>
      </c>
      <c r="Q346" s="3">
        <f t="shared" si="57"/>
        <v>0</v>
      </c>
      <c r="T346" s="27" t="str">
        <f t="shared" si="53"/>
        <v/>
      </c>
      <c r="U346" s="1" t="str">
        <f t="shared" si="58"/>
        <v/>
      </c>
    </row>
    <row r="347" spans="2:21" hidden="1">
      <c r="B347" s="1">
        <f t="shared" si="59"/>
        <v>343</v>
      </c>
      <c r="C347" s="2"/>
      <c r="D347" s="2" t="str">
        <f t="shared" si="54"/>
        <v/>
      </c>
      <c r="E347" s="1" t="str">
        <f t="shared" si="55"/>
        <v/>
      </c>
      <c r="F347" s="1" t="str">
        <f t="shared" si="56"/>
        <v/>
      </c>
      <c r="H347" s="1" t="str">
        <f>IFERROR((VLOOKUP(G347,Backdata!G:H,2,0)),"")</f>
        <v/>
      </c>
      <c r="M347" s="5"/>
      <c r="N347" s="3">
        <f t="shared" si="60"/>
        <v>0</v>
      </c>
      <c r="O347" s="5"/>
      <c r="P347" s="3">
        <f t="shared" si="61"/>
        <v>0</v>
      </c>
      <c r="Q347" s="3">
        <f t="shared" si="57"/>
        <v>0</v>
      </c>
      <c r="T347" s="27" t="str">
        <f t="shared" si="53"/>
        <v/>
      </c>
      <c r="U347" s="1" t="str">
        <f t="shared" si="58"/>
        <v/>
      </c>
    </row>
    <row r="348" spans="2:21" hidden="1">
      <c r="B348" s="1">
        <f t="shared" si="59"/>
        <v>344</v>
      </c>
      <c r="C348" s="2"/>
      <c r="D348" s="2" t="str">
        <f t="shared" si="54"/>
        <v/>
      </c>
      <c r="E348" s="1" t="str">
        <f t="shared" si="55"/>
        <v/>
      </c>
      <c r="F348" s="1" t="str">
        <f t="shared" si="56"/>
        <v/>
      </c>
      <c r="H348" s="1" t="str">
        <f>IFERROR((VLOOKUP(G348,Backdata!G:H,2,0)),"")</f>
        <v/>
      </c>
      <c r="M348" s="5"/>
      <c r="N348" s="3">
        <f t="shared" si="60"/>
        <v>0</v>
      </c>
      <c r="O348" s="5"/>
      <c r="P348" s="3">
        <f t="shared" si="61"/>
        <v>0</v>
      </c>
      <c r="Q348" s="3">
        <f t="shared" si="57"/>
        <v>0</v>
      </c>
      <c r="T348" s="27" t="str">
        <f t="shared" si="53"/>
        <v/>
      </c>
      <c r="U348" s="1" t="str">
        <f t="shared" si="58"/>
        <v/>
      </c>
    </row>
    <row r="349" spans="2:21" hidden="1">
      <c r="B349" s="1">
        <f t="shared" si="59"/>
        <v>345</v>
      </c>
      <c r="C349" s="2"/>
      <c r="D349" s="2" t="str">
        <f t="shared" si="54"/>
        <v/>
      </c>
      <c r="E349" s="1" t="str">
        <f t="shared" si="55"/>
        <v/>
      </c>
      <c r="F349" s="1" t="str">
        <f t="shared" si="56"/>
        <v/>
      </c>
      <c r="H349" s="1" t="str">
        <f>IFERROR((VLOOKUP(G349,Backdata!G:H,2,0)),"")</f>
        <v/>
      </c>
      <c r="M349" s="5"/>
      <c r="N349" s="3">
        <f t="shared" si="60"/>
        <v>0</v>
      </c>
      <c r="O349" s="5"/>
      <c r="P349" s="3">
        <f t="shared" si="61"/>
        <v>0</v>
      </c>
      <c r="Q349" s="3">
        <f t="shared" si="57"/>
        <v>0</v>
      </c>
      <c r="T349" s="27" t="str">
        <f t="shared" si="53"/>
        <v/>
      </c>
      <c r="U349" s="1" t="str">
        <f t="shared" si="58"/>
        <v/>
      </c>
    </row>
    <row r="350" spans="2:21" hidden="1">
      <c r="B350" s="1">
        <f t="shared" si="59"/>
        <v>346</v>
      </c>
      <c r="C350" s="2"/>
      <c r="D350" s="2" t="str">
        <f t="shared" si="54"/>
        <v/>
      </c>
      <c r="E350" s="1" t="str">
        <f t="shared" si="55"/>
        <v/>
      </c>
      <c r="F350" s="1" t="str">
        <f t="shared" si="56"/>
        <v/>
      </c>
      <c r="H350" s="1" t="str">
        <f>IFERROR((VLOOKUP(G350,Backdata!G:H,2,0)),"")</f>
        <v/>
      </c>
      <c r="M350" s="5"/>
      <c r="N350" s="3">
        <f t="shared" si="60"/>
        <v>0</v>
      </c>
      <c r="O350" s="5"/>
      <c r="P350" s="3">
        <f t="shared" si="61"/>
        <v>0</v>
      </c>
      <c r="Q350" s="3">
        <f t="shared" si="57"/>
        <v>0</v>
      </c>
      <c r="T350" s="27" t="str">
        <f t="shared" si="53"/>
        <v/>
      </c>
      <c r="U350" s="1" t="str">
        <f t="shared" si="58"/>
        <v/>
      </c>
    </row>
    <row r="351" spans="2:21" hidden="1">
      <c r="B351" s="1">
        <f t="shared" si="59"/>
        <v>347</v>
      </c>
      <c r="C351" s="2"/>
      <c r="D351" s="2" t="str">
        <f t="shared" si="54"/>
        <v/>
      </c>
      <c r="E351" s="1" t="str">
        <f t="shared" si="55"/>
        <v/>
      </c>
      <c r="F351" s="1" t="str">
        <f t="shared" si="56"/>
        <v/>
      </c>
      <c r="H351" s="1" t="str">
        <f>IFERROR((VLOOKUP(G351,Backdata!G:H,2,0)),"")</f>
        <v/>
      </c>
      <c r="M351" s="5"/>
      <c r="N351" s="3">
        <f t="shared" si="60"/>
        <v>0</v>
      </c>
      <c r="O351" s="5"/>
      <c r="P351" s="3">
        <f t="shared" si="61"/>
        <v>0</v>
      </c>
      <c r="Q351" s="3">
        <f t="shared" si="57"/>
        <v>0</v>
      </c>
      <c r="T351" s="27" t="str">
        <f t="shared" si="53"/>
        <v/>
      </c>
      <c r="U351" s="1" t="str">
        <f t="shared" si="58"/>
        <v/>
      </c>
    </row>
    <row r="352" spans="2:21" hidden="1">
      <c r="B352" s="1">
        <f t="shared" si="59"/>
        <v>348</v>
      </c>
      <c r="C352" s="2"/>
      <c r="D352" s="2" t="str">
        <f t="shared" si="54"/>
        <v/>
      </c>
      <c r="E352" s="1" t="str">
        <f t="shared" si="55"/>
        <v/>
      </c>
      <c r="F352" s="1" t="str">
        <f t="shared" si="56"/>
        <v/>
      </c>
      <c r="H352" s="1" t="str">
        <f>IFERROR((VLOOKUP(G352,Backdata!G:H,2,0)),"")</f>
        <v/>
      </c>
      <c r="M352" s="5"/>
      <c r="N352" s="3">
        <f t="shared" si="60"/>
        <v>0</v>
      </c>
      <c r="O352" s="5"/>
      <c r="P352" s="3">
        <f t="shared" si="61"/>
        <v>0</v>
      </c>
      <c r="Q352" s="3">
        <f t="shared" si="57"/>
        <v>0</v>
      </c>
      <c r="T352" s="27" t="str">
        <f t="shared" si="53"/>
        <v/>
      </c>
      <c r="U352" s="1" t="str">
        <f t="shared" si="58"/>
        <v/>
      </c>
    </row>
    <row r="353" spans="2:21" hidden="1">
      <c r="B353" s="1">
        <f t="shared" si="59"/>
        <v>349</v>
      </c>
      <c r="C353" s="2"/>
      <c r="D353" s="2" t="str">
        <f t="shared" si="54"/>
        <v/>
      </c>
      <c r="E353" s="1" t="str">
        <f t="shared" si="55"/>
        <v/>
      </c>
      <c r="F353" s="1" t="str">
        <f t="shared" si="56"/>
        <v/>
      </c>
      <c r="H353" s="1" t="str">
        <f>IFERROR((VLOOKUP(G353,Backdata!G:H,2,0)),"")</f>
        <v/>
      </c>
      <c r="M353" s="5"/>
      <c r="N353" s="3">
        <f t="shared" si="60"/>
        <v>0</v>
      </c>
      <c r="O353" s="5"/>
      <c r="P353" s="3">
        <f t="shared" si="61"/>
        <v>0</v>
      </c>
      <c r="Q353" s="3">
        <f t="shared" si="57"/>
        <v>0</v>
      </c>
      <c r="T353" s="27" t="str">
        <f t="shared" si="53"/>
        <v/>
      </c>
      <c r="U353" s="1" t="str">
        <f t="shared" si="58"/>
        <v/>
      </c>
    </row>
    <row r="354" spans="2:21" hidden="1">
      <c r="B354" s="1">
        <f t="shared" si="59"/>
        <v>350</v>
      </c>
      <c r="C354" s="2"/>
      <c r="D354" s="2" t="str">
        <f t="shared" si="54"/>
        <v/>
      </c>
      <c r="E354" s="1" t="str">
        <f t="shared" si="55"/>
        <v/>
      </c>
      <c r="F354" s="1" t="str">
        <f t="shared" si="56"/>
        <v/>
      </c>
      <c r="H354" s="1" t="str">
        <f>IFERROR((VLOOKUP(G354,Backdata!G:H,2,0)),"")</f>
        <v/>
      </c>
      <c r="M354" s="5"/>
      <c r="N354" s="3">
        <f t="shared" si="60"/>
        <v>0</v>
      </c>
      <c r="O354" s="5"/>
      <c r="P354" s="3">
        <f t="shared" si="61"/>
        <v>0</v>
      </c>
      <c r="Q354" s="3">
        <f t="shared" si="57"/>
        <v>0</v>
      </c>
      <c r="T354" s="27" t="str">
        <f t="shared" si="53"/>
        <v/>
      </c>
      <c r="U354" s="1" t="str">
        <f t="shared" si="58"/>
        <v/>
      </c>
    </row>
    <row r="355" spans="2:21" hidden="1">
      <c r="B355" s="1">
        <f t="shared" si="59"/>
        <v>351</v>
      </c>
      <c r="C355" s="2"/>
      <c r="D355" s="2" t="str">
        <f t="shared" si="54"/>
        <v/>
      </c>
      <c r="E355" s="1" t="str">
        <f t="shared" si="55"/>
        <v/>
      </c>
      <c r="F355" s="1" t="str">
        <f t="shared" si="56"/>
        <v/>
      </c>
      <c r="H355" s="1" t="str">
        <f>IFERROR((VLOOKUP(G355,Backdata!G:H,2,0)),"")</f>
        <v/>
      </c>
      <c r="M355" s="5"/>
      <c r="N355" s="3">
        <f t="shared" si="60"/>
        <v>0</v>
      </c>
      <c r="O355" s="5"/>
      <c r="P355" s="3">
        <f t="shared" si="61"/>
        <v>0</v>
      </c>
      <c r="Q355" s="3">
        <f t="shared" si="57"/>
        <v>0</v>
      </c>
      <c r="T355" s="27" t="str">
        <f t="shared" si="53"/>
        <v/>
      </c>
      <c r="U355" s="1" t="str">
        <f t="shared" si="58"/>
        <v/>
      </c>
    </row>
    <row r="356" spans="2:21" hidden="1">
      <c r="B356" s="1">
        <f t="shared" si="59"/>
        <v>352</v>
      </c>
      <c r="C356" s="2"/>
      <c r="D356" s="2" t="str">
        <f t="shared" si="54"/>
        <v/>
      </c>
      <c r="E356" s="1" t="str">
        <f t="shared" si="55"/>
        <v/>
      </c>
      <c r="F356" s="1" t="str">
        <f t="shared" si="56"/>
        <v/>
      </c>
      <c r="H356" s="1" t="str">
        <f>IFERROR((VLOOKUP(G356,Backdata!G:H,2,0)),"")</f>
        <v/>
      </c>
      <c r="M356" s="5"/>
      <c r="N356" s="3">
        <f t="shared" si="60"/>
        <v>0</v>
      </c>
      <c r="O356" s="5"/>
      <c r="P356" s="3">
        <f t="shared" si="61"/>
        <v>0</v>
      </c>
      <c r="Q356" s="3">
        <f t="shared" si="57"/>
        <v>0</v>
      </c>
      <c r="T356" s="27" t="str">
        <f t="shared" si="53"/>
        <v/>
      </c>
      <c r="U356" s="1" t="str">
        <f t="shared" si="58"/>
        <v/>
      </c>
    </row>
    <row r="357" spans="2:21" hidden="1">
      <c r="B357" s="1">
        <f t="shared" si="59"/>
        <v>353</v>
      </c>
      <c r="C357" s="2"/>
      <c r="D357" s="2" t="str">
        <f t="shared" si="54"/>
        <v/>
      </c>
      <c r="E357" s="1" t="str">
        <f t="shared" si="55"/>
        <v/>
      </c>
      <c r="F357" s="1" t="str">
        <f t="shared" si="56"/>
        <v/>
      </c>
      <c r="H357" s="1" t="str">
        <f>IFERROR((VLOOKUP(G357,Backdata!G:H,2,0)),"")</f>
        <v/>
      </c>
      <c r="M357" s="5"/>
      <c r="N357" s="3">
        <f t="shared" si="60"/>
        <v>0</v>
      </c>
      <c r="O357" s="5"/>
      <c r="P357" s="3">
        <f t="shared" si="61"/>
        <v>0</v>
      </c>
      <c r="Q357" s="3">
        <f t="shared" si="57"/>
        <v>0</v>
      </c>
      <c r="T357" s="27" t="str">
        <f t="shared" si="53"/>
        <v/>
      </c>
      <c r="U357" s="1" t="str">
        <f t="shared" si="58"/>
        <v/>
      </c>
    </row>
    <row r="358" spans="2:21" hidden="1">
      <c r="B358" s="1">
        <f t="shared" si="59"/>
        <v>354</v>
      </c>
      <c r="C358" s="2"/>
      <c r="D358" s="2" t="str">
        <f t="shared" si="54"/>
        <v/>
      </c>
      <c r="E358" s="1" t="str">
        <f t="shared" si="55"/>
        <v/>
      </c>
      <c r="F358" s="1" t="str">
        <f t="shared" si="56"/>
        <v/>
      </c>
      <c r="H358" s="1" t="str">
        <f>IFERROR((VLOOKUP(G358,Backdata!G:H,2,0)),"")</f>
        <v/>
      </c>
      <c r="M358" s="5"/>
      <c r="N358" s="3">
        <f t="shared" si="60"/>
        <v>0</v>
      </c>
      <c r="O358" s="5"/>
      <c r="P358" s="3">
        <f t="shared" si="61"/>
        <v>0</v>
      </c>
      <c r="Q358" s="3">
        <f t="shared" si="57"/>
        <v>0</v>
      </c>
      <c r="T358" s="27" t="str">
        <f t="shared" si="53"/>
        <v/>
      </c>
      <c r="U358" s="1" t="str">
        <f t="shared" si="58"/>
        <v/>
      </c>
    </row>
    <row r="359" spans="2:21" hidden="1">
      <c r="B359" s="1">
        <f t="shared" si="59"/>
        <v>355</v>
      </c>
      <c r="C359" s="2"/>
      <c r="D359" s="2" t="str">
        <f t="shared" si="54"/>
        <v/>
      </c>
      <c r="E359" s="1" t="str">
        <f t="shared" si="55"/>
        <v/>
      </c>
      <c r="F359" s="1" t="str">
        <f t="shared" si="56"/>
        <v/>
      </c>
      <c r="H359" s="1" t="str">
        <f>IFERROR((VLOOKUP(G359,Backdata!G:H,2,0)),"")</f>
        <v/>
      </c>
      <c r="M359" s="5"/>
      <c r="N359" s="3">
        <f t="shared" si="60"/>
        <v>0</v>
      </c>
      <c r="O359" s="5"/>
      <c r="P359" s="3">
        <f t="shared" si="61"/>
        <v>0</v>
      </c>
      <c r="Q359" s="3">
        <f t="shared" si="57"/>
        <v>0</v>
      </c>
      <c r="T359" s="27" t="str">
        <f t="shared" si="53"/>
        <v/>
      </c>
      <c r="U359" s="1" t="str">
        <f t="shared" si="58"/>
        <v/>
      </c>
    </row>
    <row r="360" spans="2:21" hidden="1">
      <c r="B360" s="1">
        <f t="shared" si="59"/>
        <v>356</v>
      </c>
      <c r="C360" s="2"/>
      <c r="D360" s="2" t="str">
        <f t="shared" si="54"/>
        <v/>
      </c>
      <c r="E360" s="1" t="str">
        <f t="shared" si="55"/>
        <v/>
      </c>
      <c r="F360" s="1" t="str">
        <f t="shared" si="56"/>
        <v/>
      </c>
      <c r="H360" s="1" t="str">
        <f>IFERROR((VLOOKUP(G360,Backdata!G:H,2,0)),"")</f>
        <v/>
      </c>
      <c r="M360" s="5"/>
      <c r="N360" s="3">
        <f t="shared" si="60"/>
        <v>0</v>
      </c>
      <c r="O360" s="5"/>
      <c r="P360" s="3">
        <f t="shared" si="61"/>
        <v>0</v>
      </c>
      <c r="Q360" s="3">
        <f t="shared" si="57"/>
        <v>0</v>
      </c>
      <c r="T360" s="27" t="str">
        <f t="shared" si="53"/>
        <v/>
      </c>
      <c r="U360" s="1" t="str">
        <f t="shared" si="58"/>
        <v/>
      </c>
    </row>
    <row r="361" spans="2:21" hidden="1">
      <c r="B361" s="1">
        <f t="shared" si="59"/>
        <v>357</v>
      </c>
      <c r="C361" s="2"/>
      <c r="D361" s="2" t="str">
        <f t="shared" si="54"/>
        <v/>
      </c>
      <c r="E361" s="1" t="str">
        <f t="shared" si="55"/>
        <v/>
      </c>
      <c r="F361" s="1" t="str">
        <f t="shared" si="56"/>
        <v/>
      </c>
      <c r="H361" s="1" t="str">
        <f>IFERROR((VLOOKUP(G361,Backdata!G:H,2,0)),"")</f>
        <v/>
      </c>
      <c r="M361" s="5"/>
      <c r="N361" s="3">
        <f t="shared" si="60"/>
        <v>0</v>
      </c>
      <c r="O361" s="5"/>
      <c r="P361" s="3">
        <f t="shared" si="61"/>
        <v>0</v>
      </c>
      <c r="Q361" s="3">
        <f t="shared" si="57"/>
        <v>0</v>
      </c>
      <c r="T361" s="27" t="str">
        <f t="shared" si="53"/>
        <v/>
      </c>
      <c r="U361" s="1" t="str">
        <f t="shared" si="58"/>
        <v/>
      </c>
    </row>
    <row r="362" spans="2:21" hidden="1">
      <c r="B362" s="1">
        <f t="shared" si="59"/>
        <v>358</v>
      </c>
      <c r="C362" s="2"/>
      <c r="D362" s="2" t="str">
        <f t="shared" si="54"/>
        <v/>
      </c>
      <c r="E362" s="1" t="str">
        <f t="shared" si="55"/>
        <v/>
      </c>
      <c r="F362" s="1" t="str">
        <f t="shared" si="56"/>
        <v/>
      </c>
      <c r="H362" s="1" t="str">
        <f>IFERROR((VLOOKUP(G362,Backdata!G:H,2,0)),"")</f>
        <v/>
      </c>
      <c r="M362" s="5"/>
      <c r="N362" s="3">
        <f t="shared" si="60"/>
        <v>0</v>
      </c>
      <c r="O362" s="5"/>
      <c r="P362" s="3">
        <f t="shared" si="61"/>
        <v>0</v>
      </c>
      <c r="Q362" s="3">
        <f t="shared" si="57"/>
        <v>0</v>
      </c>
      <c r="T362" s="27" t="str">
        <f t="shared" si="53"/>
        <v/>
      </c>
      <c r="U362" s="1" t="str">
        <f t="shared" si="58"/>
        <v/>
      </c>
    </row>
    <row r="363" spans="2:21" hidden="1">
      <c r="B363" s="1">
        <f t="shared" si="59"/>
        <v>359</v>
      </c>
      <c r="C363" s="2"/>
      <c r="D363" s="2" t="str">
        <f t="shared" si="54"/>
        <v/>
      </c>
      <c r="E363" s="1" t="str">
        <f t="shared" si="55"/>
        <v/>
      </c>
      <c r="F363" s="1" t="str">
        <f t="shared" si="56"/>
        <v/>
      </c>
      <c r="H363" s="1" t="str">
        <f>IFERROR((VLOOKUP(G363,Backdata!G:H,2,0)),"")</f>
        <v/>
      </c>
      <c r="M363" s="5"/>
      <c r="N363" s="3">
        <f t="shared" si="60"/>
        <v>0</v>
      </c>
      <c r="O363" s="5"/>
      <c r="P363" s="3">
        <f t="shared" si="61"/>
        <v>0</v>
      </c>
      <c r="Q363" s="3">
        <f t="shared" si="57"/>
        <v>0</v>
      </c>
      <c r="T363" s="27" t="str">
        <f t="shared" si="53"/>
        <v/>
      </c>
      <c r="U363" s="1" t="str">
        <f t="shared" si="58"/>
        <v/>
      </c>
    </row>
    <row r="364" spans="2:21" hidden="1">
      <c r="B364" s="1">
        <f t="shared" si="59"/>
        <v>360</v>
      </c>
      <c r="C364" s="2"/>
      <c r="D364" s="2" t="str">
        <f t="shared" si="54"/>
        <v/>
      </c>
      <c r="E364" s="1" t="str">
        <f t="shared" si="55"/>
        <v/>
      </c>
      <c r="F364" s="1" t="str">
        <f t="shared" si="56"/>
        <v/>
      </c>
      <c r="H364" s="1" t="str">
        <f>IFERROR((VLOOKUP(G364,Backdata!G:H,2,0)),"")</f>
        <v/>
      </c>
      <c r="M364" s="5"/>
      <c r="N364" s="3">
        <f t="shared" si="60"/>
        <v>0</v>
      </c>
      <c r="O364" s="5"/>
      <c r="P364" s="3">
        <f t="shared" si="61"/>
        <v>0</v>
      </c>
      <c r="Q364" s="3">
        <f t="shared" si="57"/>
        <v>0</v>
      </c>
      <c r="T364" s="27" t="str">
        <f t="shared" si="53"/>
        <v/>
      </c>
      <c r="U364" s="1" t="str">
        <f t="shared" si="58"/>
        <v/>
      </c>
    </row>
    <row r="365" spans="2:21" hidden="1">
      <c r="B365" s="1">
        <f t="shared" si="59"/>
        <v>361</v>
      </c>
      <c r="C365" s="2"/>
      <c r="D365" s="2" t="str">
        <f t="shared" si="54"/>
        <v/>
      </c>
      <c r="E365" s="1" t="str">
        <f t="shared" si="55"/>
        <v/>
      </c>
      <c r="F365" s="1" t="str">
        <f t="shared" si="56"/>
        <v/>
      </c>
      <c r="H365" s="1" t="str">
        <f>IFERROR((VLOOKUP(G365,Backdata!G:H,2,0)),"")</f>
        <v/>
      </c>
      <c r="M365" s="5"/>
      <c r="N365" s="3">
        <f t="shared" si="60"/>
        <v>0</v>
      </c>
      <c r="O365" s="5"/>
      <c r="P365" s="3">
        <f t="shared" si="61"/>
        <v>0</v>
      </c>
      <c r="Q365" s="3">
        <f t="shared" si="57"/>
        <v>0</v>
      </c>
      <c r="T365" s="27" t="str">
        <f t="shared" si="53"/>
        <v/>
      </c>
      <c r="U365" s="1" t="str">
        <f t="shared" si="58"/>
        <v/>
      </c>
    </row>
    <row r="366" spans="2:21" hidden="1">
      <c r="B366" s="1">
        <f t="shared" si="59"/>
        <v>362</v>
      </c>
      <c r="C366" s="2"/>
      <c r="D366" s="2" t="str">
        <f t="shared" si="54"/>
        <v/>
      </c>
      <c r="E366" s="1" t="str">
        <f t="shared" si="55"/>
        <v/>
      </c>
      <c r="F366" s="1" t="str">
        <f t="shared" si="56"/>
        <v/>
      </c>
      <c r="H366" s="1" t="str">
        <f>IFERROR((VLOOKUP(G366,Backdata!G:H,2,0)),"")</f>
        <v/>
      </c>
      <c r="M366" s="5"/>
      <c r="N366" s="3">
        <f t="shared" si="60"/>
        <v>0</v>
      </c>
      <c r="O366" s="5"/>
      <c r="P366" s="3">
        <f t="shared" si="61"/>
        <v>0</v>
      </c>
      <c r="Q366" s="3">
        <f t="shared" si="57"/>
        <v>0</v>
      </c>
      <c r="T366" s="27" t="str">
        <f t="shared" si="53"/>
        <v/>
      </c>
      <c r="U366" s="1" t="str">
        <f t="shared" si="58"/>
        <v/>
      </c>
    </row>
    <row r="367" spans="2:21" hidden="1">
      <c r="B367" s="1">
        <f t="shared" si="59"/>
        <v>363</v>
      </c>
      <c r="C367" s="2"/>
      <c r="D367" s="2" t="str">
        <f t="shared" si="54"/>
        <v/>
      </c>
      <c r="E367" s="1" t="str">
        <f t="shared" si="55"/>
        <v/>
      </c>
      <c r="F367" s="1" t="str">
        <f t="shared" si="56"/>
        <v/>
      </c>
      <c r="H367" s="1" t="str">
        <f>IFERROR((VLOOKUP(G367,Backdata!G:H,2,0)),"")</f>
        <v/>
      </c>
      <c r="M367" s="5"/>
      <c r="N367" s="3">
        <f t="shared" si="60"/>
        <v>0</v>
      </c>
      <c r="O367" s="5"/>
      <c r="P367" s="3">
        <f t="shared" si="61"/>
        <v>0</v>
      </c>
      <c r="Q367" s="3">
        <f t="shared" si="57"/>
        <v>0</v>
      </c>
      <c r="T367" s="27" t="str">
        <f t="shared" si="53"/>
        <v/>
      </c>
      <c r="U367" s="1" t="str">
        <f t="shared" si="58"/>
        <v/>
      </c>
    </row>
    <row r="368" spans="2:21" hidden="1">
      <c r="B368" s="1">
        <f t="shared" si="59"/>
        <v>364</v>
      </c>
      <c r="C368" s="2"/>
      <c r="D368" s="2" t="str">
        <f t="shared" si="54"/>
        <v/>
      </c>
      <c r="E368" s="1" t="str">
        <f t="shared" si="55"/>
        <v/>
      </c>
      <c r="F368" s="1" t="str">
        <f t="shared" si="56"/>
        <v/>
      </c>
      <c r="H368" s="1" t="str">
        <f>IFERROR((VLOOKUP(G368,Backdata!G:H,2,0)),"")</f>
        <v/>
      </c>
      <c r="M368" s="5"/>
      <c r="N368" s="3">
        <f t="shared" si="60"/>
        <v>0</v>
      </c>
      <c r="O368" s="5"/>
      <c r="P368" s="3">
        <f t="shared" si="61"/>
        <v>0</v>
      </c>
      <c r="Q368" s="3">
        <f t="shared" si="57"/>
        <v>0</v>
      </c>
      <c r="T368" s="27" t="str">
        <f t="shared" si="53"/>
        <v/>
      </c>
      <c r="U368" s="1" t="str">
        <f t="shared" si="58"/>
        <v/>
      </c>
    </row>
    <row r="369" spans="2:21" hidden="1">
      <c r="B369" s="1">
        <f t="shared" si="59"/>
        <v>365</v>
      </c>
      <c r="C369" s="2"/>
      <c r="D369" s="2" t="str">
        <f t="shared" si="54"/>
        <v/>
      </c>
      <c r="E369" s="1" t="str">
        <f t="shared" si="55"/>
        <v/>
      </c>
      <c r="F369" s="1" t="str">
        <f t="shared" si="56"/>
        <v/>
      </c>
      <c r="H369" s="1" t="str">
        <f>IFERROR((VLOOKUP(G369,Backdata!G:H,2,0)),"")</f>
        <v/>
      </c>
      <c r="M369" s="5"/>
      <c r="N369" s="3">
        <f t="shared" si="60"/>
        <v>0</v>
      </c>
      <c r="O369" s="5"/>
      <c r="P369" s="3">
        <f t="shared" si="61"/>
        <v>0</v>
      </c>
      <c r="Q369" s="3">
        <f t="shared" si="57"/>
        <v>0</v>
      </c>
      <c r="T369" s="27" t="str">
        <f t="shared" si="53"/>
        <v/>
      </c>
      <c r="U369" s="1" t="str">
        <f t="shared" si="58"/>
        <v/>
      </c>
    </row>
    <row r="370" spans="2:21" hidden="1">
      <c r="B370" s="1">
        <f t="shared" si="59"/>
        <v>366</v>
      </c>
      <c r="C370" s="2"/>
      <c r="D370" s="2" t="str">
        <f t="shared" si="54"/>
        <v/>
      </c>
      <c r="E370" s="1" t="str">
        <f t="shared" si="55"/>
        <v/>
      </c>
      <c r="F370" s="1" t="str">
        <f t="shared" si="56"/>
        <v/>
      </c>
      <c r="H370" s="1" t="str">
        <f>IFERROR((VLOOKUP(G370,Backdata!G:H,2,0)),"")</f>
        <v/>
      </c>
      <c r="M370" s="5"/>
      <c r="N370" s="3">
        <f t="shared" si="60"/>
        <v>0</v>
      </c>
      <c r="O370" s="5"/>
      <c r="P370" s="3">
        <f t="shared" si="61"/>
        <v>0</v>
      </c>
      <c r="Q370" s="3">
        <f t="shared" si="57"/>
        <v>0</v>
      </c>
      <c r="T370" s="27" t="str">
        <f t="shared" si="53"/>
        <v/>
      </c>
      <c r="U370" s="1" t="str">
        <f t="shared" si="58"/>
        <v/>
      </c>
    </row>
    <row r="371" spans="2:21" hidden="1">
      <c r="B371" s="1">
        <f t="shared" si="59"/>
        <v>367</v>
      </c>
      <c r="C371" s="2"/>
      <c r="D371" s="2" t="str">
        <f t="shared" si="54"/>
        <v/>
      </c>
      <c r="E371" s="1" t="str">
        <f t="shared" si="55"/>
        <v/>
      </c>
      <c r="F371" s="1" t="str">
        <f t="shared" si="56"/>
        <v/>
      </c>
      <c r="H371" s="1" t="str">
        <f>IFERROR((VLOOKUP(G371,Backdata!G:H,2,0)),"")</f>
        <v/>
      </c>
      <c r="M371" s="5"/>
      <c r="N371" s="3">
        <f t="shared" si="60"/>
        <v>0</v>
      </c>
      <c r="O371" s="5"/>
      <c r="P371" s="3">
        <f t="shared" si="61"/>
        <v>0</v>
      </c>
      <c r="Q371" s="3">
        <f t="shared" si="57"/>
        <v>0</v>
      </c>
      <c r="T371" s="27" t="str">
        <f t="shared" si="53"/>
        <v/>
      </c>
      <c r="U371" s="1" t="str">
        <f t="shared" si="58"/>
        <v/>
      </c>
    </row>
    <row r="372" spans="2:21" hidden="1">
      <c r="B372" s="1">
        <f t="shared" si="59"/>
        <v>368</v>
      </c>
      <c r="C372" s="2"/>
      <c r="D372" s="2" t="str">
        <f t="shared" si="54"/>
        <v/>
      </c>
      <c r="E372" s="1" t="str">
        <f t="shared" si="55"/>
        <v/>
      </c>
      <c r="F372" s="1" t="str">
        <f t="shared" si="56"/>
        <v/>
      </c>
      <c r="H372" s="1" t="str">
        <f>IFERROR((VLOOKUP(G372,Backdata!G:H,2,0)),"")</f>
        <v/>
      </c>
      <c r="M372" s="5"/>
      <c r="N372" s="3">
        <f t="shared" si="60"/>
        <v>0</v>
      </c>
      <c r="O372" s="5"/>
      <c r="P372" s="3">
        <f t="shared" si="61"/>
        <v>0</v>
      </c>
      <c r="Q372" s="3">
        <f t="shared" si="57"/>
        <v>0</v>
      </c>
      <c r="T372" s="27" t="str">
        <f t="shared" si="53"/>
        <v/>
      </c>
      <c r="U372" s="1" t="str">
        <f t="shared" si="58"/>
        <v/>
      </c>
    </row>
    <row r="373" spans="2:21" hidden="1">
      <c r="B373" s="1">
        <f t="shared" si="59"/>
        <v>369</v>
      </c>
      <c r="C373" s="2"/>
      <c r="D373" s="2" t="str">
        <f t="shared" si="54"/>
        <v/>
      </c>
      <c r="E373" s="1" t="str">
        <f t="shared" si="55"/>
        <v/>
      </c>
      <c r="F373" s="1" t="str">
        <f t="shared" si="56"/>
        <v/>
      </c>
      <c r="H373" s="1" t="str">
        <f>IFERROR((VLOOKUP(G373,Backdata!G:H,2,0)),"")</f>
        <v/>
      </c>
      <c r="M373" s="5"/>
      <c r="N373" s="3">
        <f t="shared" si="60"/>
        <v>0</v>
      </c>
      <c r="O373" s="5"/>
      <c r="P373" s="3">
        <f t="shared" si="61"/>
        <v>0</v>
      </c>
      <c r="Q373" s="3">
        <f t="shared" si="57"/>
        <v>0</v>
      </c>
      <c r="T373" s="27" t="str">
        <f t="shared" si="53"/>
        <v/>
      </c>
      <c r="U373" s="1" t="str">
        <f t="shared" si="58"/>
        <v/>
      </c>
    </row>
    <row r="374" spans="2:21" hidden="1">
      <c r="B374" s="1">
        <f t="shared" si="59"/>
        <v>370</v>
      </c>
      <c r="C374" s="2"/>
      <c r="D374" s="2" t="str">
        <f t="shared" si="54"/>
        <v/>
      </c>
      <c r="E374" s="1" t="str">
        <f t="shared" si="55"/>
        <v/>
      </c>
      <c r="F374" s="1" t="str">
        <f t="shared" si="56"/>
        <v/>
      </c>
      <c r="H374" s="1" t="str">
        <f>IFERROR((VLOOKUP(G374,Backdata!G:H,2,0)),"")</f>
        <v/>
      </c>
      <c r="M374" s="5"/>
      <c r="N374" s="3">
        <f t="shared" si="60"/>
        <v>0</v>
      </c>
      <c r="O374" s="5"/>
      <c r="P374" s="3">
        <f t="shared" si="61"/>
        <v>0</v>
      </c>
      <c r="Q374" s="3">
        <f t="shared" si="57"/>
        <v>0</v>
      </c>
      <c r="T374" s="27" t="str">
        <f t="shared" si="53"/>
        <v/>
      </c>
      <c r="U374" s="1" t="str">
        <f t="shared" si="58"/>
        <v/>
      </c>
    </row>
    <row r="375" spans="2:21" hidden="1">
      <c r="B375" s="1">
        <f t="shared" si="59"/>
        <v>371</v>
      </c>
      <c r="C375" s="2"/>
      <c r="D375" s="2" t="str">
        <f t="shared" si="54"/>
        <v/>
      </c>
      <c r="E375" s="1" t="str">
        <f t="shared" si="55"/>
        <v/>
      </c>
      <c r="F375" s="1" t="str">
        <f t="shared" si="56"/>
        <v/>
      </c>
      <c r="H375" s="1" t="str">
        <f>IFERROR((VLOOKUP(G375,Backdata!G:H,2,0)),"")</f>
        <v/>
      </c>
      <c r="M375" s="5"/>
      <c r="N375" s="3">
        <f t="shared" si="60"/>
        <v>0</v>
      </c>
      <c r="O375" s="5"/>
      <c r="P375" s="3">
        <f t="shared" si="61"/>
        <v>0</v>
      </c>
      <c r="Q375" s="3">
        <f t="shared" si="57"/>
        <v>0</v>
      </c>
      <c r="T375" s="27" t="str">
        <f t="shared" si="53"/>
        <v/>
      </c>
      <c r="U375" s="1" t="str">
        <f t="shared" si="58"/>
        <v/>
      </c>
    </row>
    <row r="376" spans="2:21" hidden="1">
      <c r="B376" s="1">
        <f t="shared" si="59"/>
        <v>372</v>
      </c>
      <c r="C376" s="2"/>
      <c r="D376" s="2" t="str">
        <f t="shared" si="54"/>
        <v/>
      </c>
      <c r="E376" s="1" t="str">
        <f t="shared" si="55"/>
        <v/>
      </c>
      <c r="F376" s="1" t="str">
        <f t="shared" si="56"/>
        <v/>
      </c>
      <c r="H376" s="1" t="str">
        <f>IFERROR((VLOOKUP(G376,Backdata!G:H,2,0)),"")</f>
        <v/>
      </c>
      <c r="M376" s="5"/>
      <c r="N376" s="3">
        <f t="shared" si="60"/>
        <v>0</v>
      </c>
      <c r="O376" s="5"/>
      <c r="P376" s="3">
        <f t="shared" si="61"/>
        <v>0</v>
      </c>
      <c r="Q376" s="3">
        <f t="shared" si="57"/>
        <v>0</v>
      </c>
      <c r="T376" s="27" t="str">
        <f t="shared" si="53"/>
        <v/>
      </c>
      <c r="U376" s="1" t="str">
        <f t="shared" si="58"/>
        <v/>
      </c>
    </row>
    <row r="377" spans="2:21" hidden="1">
      <c r="B377" s="1">
        <f t="shared" si="59"/>
        <v>373</v>
      </c>
      <c r="C377" s="2"/>
      <c r="D377" s="2" t="str">
        <f t="shared" si="54"/>
        <v/>
      </c>
      <c r="E377" s="1" t="str">
        <f t="shared" si="55"/>
        <v/>
      </c>
      <c r="F377" s="1" t="str">
        <f t="shared" si="56"/>
        <v/>
      </c>
      <c r="H377" s="1" t="str">
        <f>IFERROR((VLOOKUP(G377,Backdata!G:H,2,0)),"")</f>
        <v/>
      </c>
      <c r="M377" s="5"/>
      <c r="N377" s="3">
        <f t="shared" si="60"/>
        <v>0</v>
      </c>
      <c r="O377" s="5"/>
      <c r="P377" s="3">
        <f t="shared" si="61"/>
        <v>0</v>
      </c>
      <c r="Q377" s="3">
        <f t="shared" si="57"/>
        <v>0</v>
      </c>
      <c r="T377" s="27" t="str">
        <f t="shared" ref="T377:T440" si="62">IF(OR(I377="타이어",I377=""),"",C377)</f>
        <v/>
      </c>
      <c r="U377" s="1" t="str">
        <f t="shared" si="58"/>
        <v/>
      </c>
    </row>
    <row r="378" spans="2:21" hidden="1">
      <c r="B378" s="1">
        <f t="shared" si="59"/>
        <v>374</v>
      </c>
      <c r="C378" s="2"/>
      <c r="D378" s="2" t="str">
        <f t="shared" si="54"/>
        <v/>
      </c>
      <c r="E378" s="1" t="str">
        <f t="shared" si="55"/>
        <v/>
      </c>
      <c r="F378" s="1" t="str">
        <f t="shared" si="56"/>
        <v/>
      </c>
      <c r="H378" s="1" t="str">
        <f>IFERROR((VLOOKUP(G378,Backdata!G:H,2,0)),"")</f>
        <v/>
      </c>
      <c r="M378" s="5"/>
      <c r="N378" s="3">
        <f t="shared" si="60"/>
        <v>0</v>
      </c>
      <c r="O378" s="5"/>
      <c r="P378" s="3">
        <f t="shared" si="61"/>
        <v>0</v>
      </c>
      <c r="Q378" s="3">
        <f t="shared" si="57"/>
        <v>0</v>
      </c>
      <c r="T378" s="27" t="str">
        <f t="shared" si="62"/>
        <v/>
      </c>
      <c r="U378" s="1" t="str">
        <f t="shared" si="58"/>
        <v/>
      </c>
    </row>
    <row r="379" spans="2:21" hidden="1">
      <c r="B379" s="1">
        <f t="shared" si="59"/>
        <v>375</v>
      </c>
      <c r="C379" s="2"/>
      <c r="D379" s="2" t="str">
        <f t="shared" si="54"/>
        <v/>
      </c>
      <c r="E379" s="1" t="str">
        <f t="shared" si="55"/>
        <v/>
      </c>
      <c r="F379" s="1" t="str">
        <f t="shared" si="56"/>
        <v/>
      </c>
      <c r="H379" s="1" t="str">
        <f>IFERROR((VLOOKUP(G379,Backdata!G:H,2,0)),"")</f>
        <v/>
      </c>
      <c r="M379" s="5"/>
      <c r="N379" s="3">
        <f t="shared" si="60"/>
        <v>0</v>
      </c>
      <c r="O379" s="5"/>
      <c r="P379" s="3">
        <f t="shared" si="61"/>
        <v>0</v>
      </c>
      <c r="Q379" s="3">
        <f t="shared" si="57"/>
        <v>0</v>
      </c>
      <c r="T379" s="27" t="str">
        <f t="shared" si="62"/>
        <v/>
      </c>
      <c r="U379" s="1" t="str">
        <f t="shared" si="58"/>
        <v/>
      </c>
    </row>
    <row r="380" spans="2:21" hidden="1">
      <c r="B380" s="1">
        <f t="shared" si="59"/>
        <v>376</v>
      </c>
      <c r="C380" s="2"/>
      <c r="D380" s="2" t="str">
        <f t="shared" si="54"/>
        <v/>
      </c>
      <c r="E380" s="1" t="str">
        <f t="shared" si="55"/>
        <v/>
      </c>
      <c r="F380" s="1" t="str">
        <f t="shared" si="56"/>
        <v/>
      </c>
      <c r="H380" s="1" t="str">
        <f>IFERROR((VLOOKUP(G380,Backdata!G:H,2,0)),"")</f>
        <v/>
      </c>
      <c r="M380" s="5"/>
      <c r="N380" s="3">
        <f t="shared" si="60"/>
        <v>0</v>
      </c>
      <c r="O380" s="5"/>
      <c r="P380" s="3">
        <f t="shared" si="61"/>
        <v>0</v>
      </c>
      <c r="Q380" s="3">
        <f t="shared" si="57"/>
        <v>0</v>
      </c>
      <c r="T380" s="27" t="str">
        <f t="shared" si="62"/>
        <v/>
      </c>
      <c r="U380" s="1" t="str">
        <f t="shared" si="58"/>
        <v/>
      </c>
    </row>
    <row r="381" spans="2:21" hidden="1">
      <c r="B381" s="1">
        <f t="shared" si="59"/>
        <v>377</v>
      </c>
      <c r="C381" s="2"/>
      <c r="D381" s="2" t="str">
        <f t="shared" si="54"/>
        <v/>
      </c>
      <c r="E381" s="1" t="str">
        <f t="shared" si="55"/>
        <v/>
      </c>
      <c r="F381" s="1" t="str">
        <f t="shared" si="56"/>
        <v/>
      </c>
      <c r="H381" s="1" t="str">
        <f>IFERROR((VLOOKUP(G381,Backdata!G:H,2,0)),"")</f>
        <v/>
      </c>
      <c r="M381" s="5"/>
      <c r="N381" s="3">
        <f t="shared" si="60"/>
        <v>0</v>
      </c>
      <c r="O381" s="5"/>
      <c r="P381" s="3">
        <f t="shared" si="61"/>
        <v>0</v>
      </c>
      <c r="Q381" s="3">
        <f t="shared" si="57"/>
        <v>0</v>
      </c>
      <c r="T381" s="27" t="str">
        <f t="shared" si="62"/>
        <v/>
      </c>
      <c r="U381" s="1" t="str">
        <f t="shared" si="58"/>
        <v/>
      </c>
    </row>
    <row r="382" spans="2:21" hidden="1">
      <c r="B382" s="1">
        <f t="shared" si="59"/>
        <v>378</v>
      </c>
      <c r="C382" s="2"/>
      <c r="D382" s="2" t="str">
        <f t="shared" si="54"/>
        <v/>
      </c>
      <c r="E382" s="1" t="str">
        <f t="shared" si="55"/>
        <v/>
      </c>
      <c r="F382" s="1" t="str">
        <f t="shared" si="56"/>
        <v/>
      </c>
      <c r="H382" s="1" t="str">
        <f>IFERROR((VLOOKUP(G382,Backdata!G:H,2,0)),"")</f>
        <v/>
      </c>
      <c r="M382" s="5"/>
      <c r="N382" s="3">
        <f t="shared" si="60"/>
        <v>0</v>
      </c>
      <c r="O382" s="5"/>
      <c r="P382" s="3">
        <f t="shared" si="61"/>
        <v>0</v>
      </c>
      <c r="Q382" s="3">
        <f t="shared" si="57"/>
        <v>0</v>
      </c>
      <c r="T382" s="27" t="str">
        <f t="shared" si="62"/>
        <v/>
      </c>
      <c r="U382" s="1" t="str">
        <f t="shared" si="58"/>
        <v/>
      </c>
    </row>
    <row r="383" spans="2:21" hidden="1">
      <c r="B383" s="1">
        <f t="shared" si="59"/>
        <v>379</v>
      </c>
      <c r="C383" s="2"/>
      <c r="D383" s="2" t="str">
        <f t="shared" si="54"/>
        <v/>
      </c>
      <c r="E383" s="1" t="str">
        <f t="shared" si="55"/>
        <v/>
      </c>
      <c r="F383" s="1" t="str">
        <f t="shared" si="56"/>
        <v/>
      </c>
      <c r="H383" s="1" t="str">
        <f>IFERROR((VLOOKUP(G383,Backdata!G:H,2,0)),"")</f>
        <v/>
      </c>
      <c r="M383" s="5"/>
      <c r="N383" s="3">
        <f t="shared" si="60"/>
        <v>0</v>
      </c>
      <c r="O383" s="5"/>
      <c r="P383" s="3">
        <f t="shared" si="61"/>
        <v>0</v>
      </c>
      <c r="Q383" s="3">
        <f t="shared" si="57"/>
        <v>0</v>
      </c>
      <c r="T383" s="27" t="str">
        <f t="shared" si="62"/>
        <v/>
      </c>
      <c r="U383" s="1" t="str">
        <f t="shared" si="58"/>
        <v/>
      </c>
    </row>
    <row r="384" spans="2:21" hidden="1">
      <c r="B384" s="1">
        <f t="shared" si="59"/>
        <v>380</v>
      </c>
      <c r="C384" s="2"/>
      <c r="D384" s="2" t="str">
        <f t="shared" si="54"/>
        <v/>
      </c>
      <c r="E384" s="1" t="str">
        <f t="shared" si="55"/>
        <v/>
      </c>
      <c r="F384" s="1" t="str">
        <f t="shared" si="56"/>
        <v/>
      </c>
      <c r="H384" s="1" t="str">
        <f>IFERROR((VLOOKUP(G384,Backdata!G:H,2,0)),"")</f>
        <v/>
      </c>
      <c r="M384" s="5"/>
      <c r="N384" s="3">
        <f t="shared" si="60"/>
        <v>0</v>
      </c>
      <c r="O384" s="5"/>
      <c r="P384" s="3">
        <f t="shared" si="61"/>
        <v>0</v>
      </c>
      <c r="Q384" s="3">
        <f t="shared" si="57"/>
        <v>0</v>
      </c>
      <c r="T384" s="27" t="str">
        <f t="shared" si="62"/>
        <v/>
      </c>
      <c r="U384" s="1" t="str">
        <f t="shared" si="58"/>
        <v/>
      </c>
    </row>
    <row r="385" spans="2:21" hidden="1">
      <c r="B385" s="1">
        <f t="shared" si="59"/>
        <v>381</v>
      </c>
      <c r="C385" s="2"/>
      <c r="D385" s="2" t="str">
        <f t="shared" si="54"/>
        <v/>
      </c>
      <c r="E385" s="1" t="str">
        <f t="shared" si="55"/>
        <v/>
      </c>
      <c r="F385" s="1" t="str">
        <f t="shared" si="56"/>
        <v/>
      </c>
      <c r="H385" s="1" t="str">
        <f>IFERROR((VLOOKUP(G385,Backdata!G:H,2,0)),"")</f>
        <v/>
      </c>
      <c r="M385" s="5"/>
      <c r="N385" s="3">
        <f t="shared" si="60"/>
        <v>0</v>
      </c>
      <c r="O385" s="5"/>
      <c r="P385" s="3">
        <f t="shared" si="61"/>
        <v>0</v>
      </c>
      <c r="Q385" s="3">
        <f t="shared" si="57"/>
        <v>0</v>
      </c>
      <c r="T385" s="27" t="str">
        <f t="shared" si="62"/>
        <v/>
      </c>
      <c r="U385" s="1" t="str">
        <f t="shared" si="58"/>
        <v/>
      </c>
    </row>
    <row r="386" spans="2:21" hidden="1">
      <c r="B386" s="1">
        <f t="shared" si="59"/>
        <v>382</v>
      </c>
      <c r="C386" s="2"/>
      <c r="D386" s="2" t="str">
        <f t="shared" si="54"/>
        <v/>
      </c>
      <c r="E386" s="1" t="str">
        <f t="shared" si="55"/>
        <v/>
      </c>
      <c r="F386" s="1" t="str">
        <f t="shared" si="56"/>
        <v/>
      </c>
      <c r="H386" s="1" t="str">
        <f>IFERROR((VLOOKUP(G386,Backdata!G:H,2,0)),"")</f>
        <v/>
      </c>
      <c r="M386" s="5"/>
      <c r="N386" s="3">
        <f t="shared" si="60"/>
        <v>0</v>
      </c>
      <c r="O386" s="5"/>
      <c r="P386" s="3">
        <f t="shared" si="61"/>
        <v>0</v>
      </c>
      <c r="Q386" s="3">
        <f t="shared" si="57"/>
        <v>0</v>
      </c>
      <c r="T386" s="27" t="str">
        <f t="shared" si="62"/>
        <v/>
      </c>
      <c r="U386" s="1" t="str">
        <f t="shared" si="58"/>
        <v/>
      </c>
    </row>
    <row r="387" spans="2:21" hidden="1">
      <c r="B387" s="1">
        <f t="shared" si="59"/>
        <v>383</v>
      </c>
      <c r="C387" s="2"/>
      <c r="D387" s="2" t="str">
        <f t="shared" si="54"/>
        <v/>
      </c>
      <c r="E387" s="1" t="str">
        <f t="shared" si="55"/>
        <v/>
      </c>
      <c r="F387" s="1" t="str">
        <f t="shared" si="56"/>
        <v/>
      </c>
      <c r="H387" s="1" t="str">
        <f>IFERROR((VLOOKUP(G387,Backdata!G:H,2,0)),"")</f>
        <v/>
      </c>
      <c r="M387" s="5"/>
      <c r="N387" s="3">
        <f t="shared" si="60"/>
        <v>0</v>
      </c>
      <c r="O387" s="5"/>
      <c r="P387" s="3">
        <f t="shared" si="61"/>
        <v>0</v>
      </c>
      <c r="Q387" s="3">
        <f t="shared" si="57"/>
        <v>0</v>
      </c>
      <c r="T387" s="27" t="str">
        <f t="shared" si="62"/>
        <v/>
      </c>
      <c r="U387" s="1" t="str">
        <f t="shared" si="58"/>
        <v/>
      </c>
    </row>
    <row r="388" spans="2:21" hidden="1">
      <c r="B388" s="1">
        <f t="shared" si="59"/>
        <v>384</v>
      </c>
      <c r="C388" s="2"/>
      <c r="D388" s="2" t="str">
        <f t="shared" si="54"/>
        <v/>
      </c>
      <c r="E388" s="1" t="str">
        <f t="shared" si="55"/>
        <v/>
      </c>
      <c r="F388" s="1" t="str">
        <f t="shared" si="56"/>
        <v/>
      </c>
      <c r="H388" s="1" t="str">
        <f>IFERROR((VLOOKUP(G388,Backdata!G:H,2,0)),"")</f>
        <v/>
      </c>
      <c r="M388" s="5"/>
      <c r="N388" s="3">
        <f t="shared" si="60"/>
        <v>0</v>
      </c>
      <c r="O388" s="5"/>
      <c r="P388" s="3">
        <f t="shared" si="61"/>
        <v>0</v>
      </c>
      <c r="Q388" s="3">
        <f t="shared" si="57"/>
        <v>0</v>
      </c>
      <c r="T388" s="27" t="str">
        <f t="shared" si="62"/>
        <v/>
      </c>
      <c r="U388" s="1" t="str">
        <f t="shared" si="58"/>
        <v/>
      </c>
    </row>
    <row r="389" spans="2:21" hidden="1">
      <c r="B389" s="1">
        <f t="shared" si="59"/>
        <v>385</v>
      </c>
      <c r="C389" s="2"/>
      <c r="D389" s="2" t="str">
        <f t="shared" ref="D389:D452" si="63">IF((C389=""),"",(YEAR(C389)&amp;"년"))</f>
        <v/>
      </c>
      <c r="E389" s="1" t="str">
        <f t="shared" ref="E389:E452" si="64">IF((C389=""),"",(MONTH(C389)&amp;"월"))</f>
        <v/>
      </c>
      <c r="F389" s="1" t="str">
        <f t="shared" ref="F389:F452" si="65">CONCATENATE(D389,E389)</f>
        <v/>
      </c>
      <c r="H389" s="1" t="str">
        <f>IFERROR((VLOOKUP(G389,Backdata!G:H,2,0)),"")</f>
        <v/>
      </c>
      <c r="M389" s="5"/>
      <c r="N389" s="3">
        <f t="shared" si="60"/>
        <v>0</v>
      </c>
      <c r="O389" s="5"/>
      <c r="P389" s="3">
        <f t="shared" si="61"/>
        <v>0</v>
      </c>
      <c r="Q389" s="3">
        <f t="shared" ref="Q389:Q452" si="66">N389-P389</f>
        <v>0</v>
      </c>
      <c r="T389" s="27" t="str">
        <f t="shared" si="62"/>
        <v/>
      </c>
      <c r="U389" s="1" t="str">
        <f t="shared" ref="U389:U452" si="67">IF(T389="","","완료")</f>
        <v/>
      </c>
    </row>
    <row r="390" spans="2:21" hidden="1">
      <c r="B390" s="1">
        <f t="shared" ref="B390:B453" si="68">B389+1</f>
        <v>386</v>
      </c>
      <c r="C390" s="2"/>
      <c r="D390" s="2" t="str">
        <f t="shared" si="63"/>
        <v/>
      </c>
      <c r="E390" s="1" t="str">
        <f t="shared" si="64"/>
        <v/>
      </c>
      <c r="F390" s="1" t="str">
        <f t="shared" si="65"/>
        <v/>
      </c>
      <c r="H390" s="1" t="str">
        <f>IFERROR((VLOOKUP(G390,Backdata!G:H,2,0)),"")</f>
        <v/>
      </c>
      <c r="M390" s="5"/>
      <c r="N390" s="3">
        <f t="shared" ref="N390:N453" si="69">M390*L390*1.1</f>
        <v>0</v>
      </c>
      <c r="O390" s="5"/>
      <c r="P390" s="3">
        <f t="shared" ref="P390:P453" si="70">O390*L390*1.1</f>
        <v>0</v>
      </c>
      <c r="Q390" s="3">
        <f t="shared" si="66"/>
        <v>0</v>
      </c>
      <c r="T390" s="27" t="str">
        <f t="shared" si="62"/>
        <v/>
      </c>
      <c r="U390" s="1" t="str">
        <f t="shared" si="67"/>
        <v/>
      </c>
    </row>
    <row r="391" spans="2:21" hidden="1">
      <c r="B391" s="1">
        <f t="shared" si="68"/>
        <v>387</v>
      </c>
      <c r="C391" s="2"/>
      <c r="D391" s="2" t="str">
        <f t="shared" si="63"/>
        <v/>
      </c>
      <c r="E391" s="1" t="str">
        <f t="shared" si="64"/>
        <v/>
      </c>
      <c r="F391" s="1" t="str">
        <f t="shared" si="65"/>
        <v/>
      </c>
      <c r="H391" s="1" t="str">
        <f>IFERROR((VLOOKUP(G391,Backdata!G:H,2,0)),"")</f>
        <v/>
      </c>
      <c r="M391" s="5"/>
      <c r="N391" s="3">
        <f t="shared" si="69"/>
        <v>0</v>
      </c>
      <c r="O391" s="5"/>
      <c r="P391" s="3">
        <f t="shared" si="70"/>
        <v>0</v>
      </c>
      <c r="Q391" s="3">
        <f t="shared" si="66"/>
        <v>0</v>
      </c>
      <c r="T391" s="27" t="str">
        <f t="shared" si="62"/>
        <v/>
      </c>
      <c r="U391" s="1" t="str">
        <f t="shared" si="67"/>
        <v/>
      </c>
    </row>
    <row r="392" spans="2:21" hidden="1">
      <c r="B392" s="1">
        <f t="shared" si="68"/>
        <v>388</v>
      </c>
      <c r="C392" s="2"/>
      <c r="D392" s="2" t="str">
        <f t="shared" si="63"/>
        <v/>
      </c>
      <c r="E392" s="1" t="str">
        <f t="shared" si="64"/>
        <v/>
      </c>
      <c r="F392" s="1" t="str">
        <f t="shared" si="65"/>
        <v/>
      </c>
      <c r="H392" s="1" t="str">
        <f>IFERROR((VLOOKUP(G392,Backdata!G:H,2,0)),"")</f>
        <v/>
      </c>
      <c r="M392" s="5"/>
      <c r="N392" s="3">
        <f t="shared" si="69"/>
        <v>0</v>
      </c>
      <c r="O392" s="5"/>
      <c r="P392" s="3">
        <f t="shared" si="70"/>
        <v>0</v>
      </c>
      <c r="Q392" s="3">
        <f t="shared" si="66"/>
        <v>0</v>
      </c>
      <c r="T392" s="27" t="str">
        <f t="shared" si="62"/>
        <v/>
      </c>
      <c r="U392" s="1" t="str">
        <f t="shared" si="67"/>
        <v/>
      </c>
    </row>
    <row r="393" spans="2:21" hidden="1">
      <c r="B393" s="1">
        <f t="shared" si="68"/>
        <v>389</v>
      </c>
      <c r="C393" s="2"/>
      <c r="D393" s="2" t="str">
        <f t="shared" si="63"/>
        <v/>
      </c>
      <c r="E393" s="1" t="str">
        <f t="shared" si="64"/>
        <v/>
      </c>
      <c r="F393" s="1" t="str">
        <f t="shared" si="65"/>
        <v/>
      </c>
      <c r="H393" s="1" t="str">
        <f>IFERROR((VLOOKUP(G393,Backdata!G:H,2,0)),"")</f>
        <v/>
      </c>
      <c r="M393" s="5"/>
      <c r="N393" s="3">
        <f t="shared" si="69"/>
        <v>0</v>
      </c>
      <c r="O393" s="5"/>
      <c r="P393" s="3">
        <f t="shared" si="70"/>
        <v>0</v>
      </c>
      <c r="Q393" s="3">
        <f t="shared" si="66"/>
        <v>0</v>
      </c>
      <c r="T393" s="27" t="str">
        <f t="shared" si="62"/>
        <v/>
      </c>
      <c r="U393" s="1" t="str">
        <f t="shared" si="67"/>
        <v/>
      </c>
    </row>
    <row r="394" spans="2:21" hidden="1">
      <c r="B394" s="1">
        <f t="shared" si="68"/>
        <v>390</v>
      </c>
      <c r="C394" s="2"/>
      <c r="D394" s="2" t="str">
        <f t="shared" si="63"/>
        <v/>
      </c>
      <c r="E394" s="1" t="str">
        <f t="shared" si="64"/>
        <v/>
      </c>
      <c r="F394" s="1" t="str">
        <f t="shared" si="65"/>
        <v/>
      </c>
      <c r="H394" s="1" t="str">
        <f>IFERROR((VLOOKUP(G394,Backdata!G:H,2,0)),"")</f>
        <v/>
      </c>
      <c r="M394" s="5"/>
      <c r="N394" s="3">
        <f t="shared" si="69"/>
        <v>0</v>
      </c>
      <c r="O394" s="5"/>
      <c r="P394" s="3">
        <f t="shared" si="70"/>
        <v>0</v>
      </c>
      <c r="Q394" s="3">
        <f t="shared" si="66"/>
        <v>0</v>
      </c>
      <c r="T394" s="27" t="str">
        <f t="shared" si="62"/>
        <v/>
      </c>
      <c r="U394" s="1" t="str">
        <f t="shared" si="67"/>
        <v/>
      </c>
    </row>
    <row r="395" spans="2:21" hidden="1">
      <c r="B395" s="1">
        <f t="shared" si="68"/>
        <v>391</v>
      </c>
      <c r="C395" s="2"/>
      <c r="D395" s="2" t="str">
        <f t="shared" si="63"/>
        <v/>
      </c>
      <c r="E395" s="1" t="str">
        <f t="shared" si="64"/>
        <v/>
      </c>
      <c r="F395" s="1" t="str">
        <f t="shared" si="65"/>
        <v/>
      </c>
      <c r="H395" s="1" t="str">
        <f>IFERROR((VLOOKUP(G395,Backdata!G:H,2,0)),"")</f>
        <v/>
      </c>
      <c r="M395" s="5"/>
      <c r="N395" s="3">
        <f t="shared" si="69"/>
        <v>0</v>
      </c>
      <c r="O395" s="5"/>
      <c r="P395" s="3">
        <f t="shared" si="70"/>
        <v>0</v>
      </c>
      <c r="Q395" s="3">
        <f t="shared" si="66"/>
        <v>0</v>
      </c>
      <c r="T395" s="27" t="str">
        <f t="shared" si="62"/>
        <v/>
      </c>
      <c r="U395" s="1" t="str">
        <f t="shared" si="67"/>
        <v/>
      </c>
    </row>
    <row r="396" spans="2:21" hidden="1">
      <c r="B396" s="1">
        <f t="shared" si="68"/>
        <v>392</v>
      </c>
      <c r="C396" s="2"/>
      <c r="D396" s="2" t="str">
        <f t="shared" si="63"/>
        <v/>
      </c>
      <c r="E396" s="1" t="str">
        <f t="shared" si="64"/>
        <v/>
      </c>
      <c r="F396" s="1" t="str">
        <f t="shared" si="65"/>
        <v/>
      </c>
      <c r="H396" s="1" t="str">
        <f>IFERROR((VLOOKUP(G396,Backdata!G:H,2,0)),"")</f>
        <v/>
      </c>
      <c r="M396" s="5"/>
      <c r="N396" s="3">
        <f t="shared" si="69"/>
        <v>0</v>
      </c>
      <c r="O396" s="5"/>
      <c r="P396" s="3">
        <f t="shared" si="70"/>
        <v>0</v>
      </c>
      <c r="Q396" s="3">
        <f t="shared" si="66"/>
        <v>0</v>
      </c>
      <c r="T396" s="27" t="str">
        <f t="shared" si="62"/>
        <v/>
      </c>
      <c r="U396" s="1" t="str">
        <f t="shared" si="67"/>
        <v/>
      </c>
    </row>
    <row r="397" spans="2:21" hidden="1">
      <c r="B397" s="1">
        <f t="shared" si="68"/>
        <v>393</v>
      </c>
      <c r="C397" s="2"/>
      <c r="D397" s="2" t="str">
        <f t="shared" si="63"/>
        <v/>
      </c>
      <c r="E397" s="1" t="str">
        <f t="shared" si="64"/>
        <v/>
      </c>
      <c r="F397" s="1" t="str">
        <f t="shared" si="65"/>
        <v/>
      </c>
      <c r="H397" s="1" t="str">
        <f>IFERROR((VLOOKUP(G397,Backdata!G:H,2,0)),"")</f>
        <v/>
      </c>
      <c r="M397" s="5"/>
      <c r="N397" s="3">
        <f t="shared" si="69"/>
        <v>0</v>
      </c>
      <c r="O397" s="5"/>
      <c r="P397" s="3">
        <f t="shared" si="70"/>
        <v>0</v>
      </c>
      <c r="Q397" s="3">
        <f t="shared" si="66"/>
        <v>0</v>
      </c>
      <c r="T397" s="27" t="str">
        <f t="shared" si="62"/>
        <v/>
      </c>
      <c r="U397" s="1" t="str">
        <f t="shared" si="67"/>
        <v/>
      </c>
    </row>
    <row r="398" spans="2:21" hidden="1">
      <c r="B398" s="1">
        <f t="shared" si="68"/>
        <v>394</v>
      </c>
      <c r="C398" s="2"/>
      <c r="D398" s="2" t="str">
        <f t="shared" si="63"/>
        <v/>
      </c>
      <c r="E398" s="1" t="str">
        <f t="shared" si="64"/>
        <v/>
      </c>
      <c r="F398" s="1" t="str">
        <f t="shared" si="65"/>
        <v/>
      </c>
      <c r="H398" s="1" t="str">
        <f>IFERROR((VLOOKUP(G398,Backdata!G:H,2,0)),"")</f>
        <v/>
      </c>
      <c r="M398" s="5"/>
      <c r="N398" s="3">
        <f t="shared" si="69"/>
        <v>0</v>
      </c>
      <c r="O398" s="5"/>
      <c r="P398" s="3">
        <f t="shared" si="70"/>
        <v>0</v>
      </c>
      <c r="Q398" s="3">
        <f t="shared" si="66"/>
        <v>0</v>
      </c>
      <c r="T398" s="27" t="str">
        <f t="shared" si="62"/>
        <v/>
      </c>
      <c r="U398" s="1" t="str">
        <f t="shared" si="67"/>
        <v/>
      </c>
    </row>
    <row r="399" spans="2:21" hidden="1">
      <c r="B399" s="1">
        <f t="shared" si="68"/>
        <v>395</v>
      </c>
      <c r="C399" s="2"/>
      <c r="D399" s="2" t="str">
        <f t="shared" si="63"/>
        <v/>
      </c>
      <c r="E399" s="1" t="str">
        <f t="shared" si="64"/>
        <v/>
      </c>
      <c r="F399" s="1" t="str">
        <f t="shared" si="65"/>
        <v/>
      </c>
      <c r="H399" s="1" t="str">
        <f>IFERROR((VLOOKUP(G399,Backdata!G:H,2,0)),"")</f>
        <v/>
      </c>
      <c r="M399" s="5"/>
      <c r="N399" s="3">
        <f t="shared" si="69"/>
        <v>0</v>
      </c>
      <c r="O399" s="5"/>
      <c r="P399" s="3">
        <f t="shared" si="70"/>
        <v>0</v>
      </c>
      <c r="Q399" s="3">
        <f t="shared" si="66"/>
        <v>0</v>
      </c>
      <c r="T399" s="27" t="str">
        <f t="shared" si="62"/>
        <v/>
      </c>
      <c r="U399" s="1" t="str">
        <f t="shared" si="67"/>
        <v/>
      </c>
    </row>
    <row r="400" spans="2:21" hidden="1">
      <c r="B400" s="1">
        <f t="shared" si="68"/>
        <v>396</v>
      </c>
      <c r="C400" s="2"/>
      <c r="D400" s="2" t="str">
        <f t="shared" si="63"/>
        <v/>
      </c>
      <c r="E400" s="1" t="str">
        <f t="shared" si="64"/>
        <v/>
      </c>
      <c r="F400" s="1" t="str">
        <f t="shared" si="65"/>
        <v/>
      </c>
      <c r="H400" s="1" t="str">
        <f>IFERROR((VLOOKUP(G400,Backdata!G:H,2,0)),"")</f>
        <v/>
      </c>
      <c r="M400" s="5"/>
      <c r="N400" s="3">
        <f t="shared" si="69"/>
        <v>0</v>
      </c>
      <c r="O400" s="5"/>
      <c r="P400" s="3">
        <f t="shared" si="70"/>
        <v>0</v>
      </c>
      <c r="Q400" s="3">
        <f t="shared" si="66"/>
        <v>0</v>
      </c>
      <c r="T400" s="27" t="str">
        <f t="shared" si="62"/>
        <v/>
      </c>
      <c r="U400" s="1" t="str">
        <f t="shared" si="67"/>
        <v/>
      </c>
    </row>
    <row r="401" spans="2:21" hidden="1">
      <c r="B401" s="1">
        <f t="shared" si="68"/>
        <v>397</v>
      </c>
      <c r="C401" s="2"/>
      <c r="D401" s="2" t="str">
        <f t="shared" si="63"/>
        <v/>
      </c>
      <c r="E401" s="1" t="str">
        <f t="shared" si="64"/>
        <v/>
      </c>
      <c r="F401" s="1" t="str">
        <f t="shared" si="65"/>
        <v/>
      </c>
      <c r="H401" s="1" t="str">
        <f>IFERROR((VLOOKUP(G401,Backdata!G:H,2,0)),"")</f>
        <v/>
      </c>
      <c r="M401" s="5"/>
      <c r="N401" s="3">
        <f t="shared" si="69"/>
        <v>0</v>
      </c>
      <c r="O401" s="5"/>
      <c r="P401" s="3">
        <f t="shared" si="70"/>
        <v>0</v>
      </c>
      <c r="Q401" s="3">
        <f t="shared" si="66"/>
        <v>0</v>
      </c>
      <c r="T401" s="27" t="str">
        <f t="shared" si="62"/>
        <v/>
      </c>
      <c r="U401" s="1" t="str">
        <f t="shared" si="67"/>
        <v/>
      </c>
    </row>
    <row r="402" spans="2:21" hidden="1">
      <c r="B402" s="1">
        <f t="shared" si="68"/>
        <v>398</v>
      </c>
      <c r="C402" s="2"/>
      <c r="D402" s="2" t="str">
        <f t="shared" si="63"/>
        <v/>
      </c>
      <c r="E402" s="1" t="str">
        <f t="shared" si="64"/>
        <v/>
      </c>
      <c r="F402" s="1" t="str">
        <f t="shared" si="65"/>
        <v/>
      </c>
      <c r="H402" s="1" t="str">
        <f>IFERROR((VLOOKUP(G402,Backdata!G:H,2,0)),"")</f>
        <v/>
      </c>
      <c r="M402" s="5"/>
      <c r="N402" s="3">
        <f t="shared" si="69"/>
        <v>0</v>
      </c>
      <c r="O402" s="5"/>
      <c r="P402" s="3">
        <f t="shared" si="70"/>
        <v>0</v>
      </c>
      <c r="Q402" s="3">
        <f t="shared" si="66"/>
        <v>0</v>
      </c>
      <c r="T402" s="27" t="str">
        <f t="shared" si="62"/>
        <v/>
      </c>
      <c r="U402" s="1" t="str">
        <f t="shared" si="67"/>
        <v/>
      </c>
    </row>
    <row r="403" spans="2:21" hidden="1">
      <c r="B403" s="1">
        <f t="shared" si="68"/>
        <v>399</v>
      </c>
      <c r="C403" s="2"/>
      <c r="D403" s="2" t="str">
        <f t="shared" si="63"/>
        <v/>
      </c>
      <c r="E403" s="1" t="str">
        <f t="shared" si="64"/>
        <v/>
      </c>
      <c r="F403" s="1" t="str">
        <f t="shared" si="65"/>
        <v/>
      </c>
      <c r="H403" s="1" t="str">
        <f>IFERROR((VLOOKUP(G403,Backdata!G:H,2,0)),"")</f>
        <v/>
      </c>
      <c r="M403" s="5"/>
      <c r="N403" s="3">
        <f t="shared" si="69"/>
        <v>0</v>
      </c>
      <c r="O403" s="5"/>
      <c r="P403" s="3">
        <f t="shared" si="70"/>
        <v>0</v>
      </c>
      <c r="Q403" s="3">
        <f t="shared" si="66"/>
        <v>0</v>
      </c>
      <c r="T403" s="27" t="str">
        <f t="shared" si="62"/>
        <v/>
      </c>
      <c r="U403" s="1" t="str">
        <f t="shared" si="67"/>
        <v/>
      </c>
    </row>
    <row r="404" spans="2:21" hidden="1">
      <c r="B404" s="1">
        <f t="shared" si="68"/>
        <v>400</v>
      </c>
      <c r="C404" s="2"/>
      <c r="D404" s="2" t="str">
        <f t="shared" si="63"/>
        <v/>
      </c>
      <c r="E404" s="1" t="str">
        <f t="shared" si="64"/>
        <v/>
      </c>
      <c r="F404" s="1" t="str">
        <f t="shared" si="65"/>
        <v/>
      </c>
      <c r="H404" s="1" t="str">
        <f>IFERROR((VLOOKUP(G404,Backdata!G:H,2,0)),"")</f>
        <v/>
      </c>
      <c r="M404" s="5"/>
      <c r="N404" s="3">
        <f t="shared" si="69"/>
        <v>0</v>
      </c>
      <c r="O404" s="5"/>
      <c r="P404" s="3">
        <f t="shared" si="70"/>
        <v>0</v>
      </c>
      <c r="Q404" s="3">
        <f t="shared" si="66"/>
        <v>0</v>
      </c>
      <c r="T404" s="27" t="str">
        <f t="shared" si="62"/>
        <v/>
      </c>
      <c r="U404" s="1" t="str">
        <f t="shared" si="67"/>
        <v/>
      </c>
    </row>
    <row r="405" spans="2:21" hidden="1">
      <c r="B405" s="1">
        <f t="shared" si="68"/>
        <v>401</v>
      </c>
      <c r="C405" s="2"/>
      <c r="D405" s="2" t="str">
        <f t="shared" si="63"/>
        <v/>
      </c>
      <c r="E405" s="1" t="str">
        <f t="shared" si="64"/>
        <v/>
      </c>
      <c r="F405" s="1" t="str">
        <f t="shared" si="65"/>
        <v/>
      </c>
      <c r="H405" s="1" t="str">
        <f>IFERROR((VLOOKUP(G405,Backdata!G:H,2,0)),"")</f>
        <v/>
      </c>
      <c r="M405" s="5"/>
      <c r="N405" s="3">
        <f t="shared" si="69"/>
        <v>0</v>
      </c>
      <c r="O405" s="5"/>
      <c r="P405" s="3">
        <f t="shared" si="70"/>
        <v>0</v>
      </c>
      <c r="Q405" s="3">
        <f t="shared" si="66"/>
        <v>0</v>
      </c>
      <c r="T405" s="27" t="str">
        <f t="shared" si="62"/>
        <v/>
      </c>
      <c r="U405" s="1" t="str">
        <f t="shared" si="67"/>
        <v/>
      </c>
    </row>
    <row r="406" spans="2:21" hidden="1">
      <c r="B406" s="1">
        <f t="shared" si="68"/>
        <v>402</v>
      </c>
      <c r="C406" s="2"/>
      <c r="D406" s="2" t="str">
        <f t="shared" si="63"/>
        <v/>
      </c>
      <c r="E406" s="1" t="str">
        <f t="shared" si="64"/>
        <v/>
      </c>
      <c r="F406" s="1" t="str">
        <f t="shared" si="65"/>
        <v/>
      </c>
      <c r="H406" s="1" t="str">
        <f>IFERROR((VLOOKUP(G406,Backdata!G:H,2,0)),"")</f>
        <v/>
      </c>
      <c r="M406" s="5"/>
      <c r="N406" s="3">
        <f t="shared" si="69"/>
        <v>0</v>
      </c>
      <c r="O406" s="5"/>
      <c r="P406" s="3">
        <f t="shared" si="70"/>
        <v>0</v>
      </c>
      <c r="Q406" s="3">
        <f t="shared" si="66"/>
        <v>0</v>
      </c>
      <c r="T406" s="27" t="str">
        <f t="shared" si="62"/>
        <v/>
      </c>
      <c r="U406" s="1" t="str">
        <f t="shared" si="67"/>
        <v/>
      </c>
    </row>
    <row r="407" spans="2:21" hidden="1">
      <c r="B407" s="1">
        <f t="shared" si="68"/>
        <v>403</v>
      </c>
      <c r="C407" s="2"/>
      <c r="D407" s="2" t="str">
        <f t="shared" si="63"/>
        <v/>
      </c>
      <c r="E407" s="1" t="str">
        <f t="shared" si="64"/>
        <v/>
      </c>
      <c r="F407" s="1" t="str">
        <f t="shared" si="65"/>
        <v/>
      </c>
      <c r="H407" s="1" t="str">
        <f>IFERROR((VLOOKUP(G407,Backdata!G:H,2,0)),"")</f>
        <v/>
      </c>
      <c r="M407" s="5"/>
      <c r="N407" s="3">
        <f t="shared" si="69"/>
        <v>0</v>
      </c>
      <c r="O407" s="5"/>
      <c r="P407" s="3">
        <f t="shared" si="70"/>
        <v>0</v>
      </c>
      <c r="Q407" s="3">
        <f t="shared" si="66"/>
        <v>0</v>
      </c>
      <c r="T407" s="27" t="str">
        <f t="shared" si="62"/>
        <v/>
      </c>
      <c r="U407" s="1" t="str">
        <f t="shared" si="67"/>
        <v/>
      </c>
    </row>
    <row r="408" spans="2:21" hidden="1">
      <c r="B408" s="1">
        <f t="shared" si="68"/>
        <v>404</v>
      </c>
      <c r="C408" s="2"/>
      <c r="D408" s="2" t="str">
        <f t="shared" si="63"/>
        <v/>
      </c>
      <c r="E408" s="1" t="str">
        <f t="shared" si="64"/>
        <v/>
      </c>
      <c r="F408" s="1" t="str">
        <f t="shared" si="65"/>
        <v/>
      </c>
      <c r="H408" s="1" t="str">
        <f>IFERROR((VLOOKUP(G408,Backdata!G:H,2,0)),"")</f>
        <v/>
      </c>
      <c r="M408" s="5"/>
      <c r="N408" s="3">
        <f t="shared" si="69"/>
        <v>0</v>
      </c>
      <c r="O408" s="5"/>
      <c r="P408" s="3">
        <f t="shared" si="70"/>
        <v>0</v>
      </c>
      <c r="Q408" s="3">
        <f t="shared" si="66"/>
        <v>0</v>
      </c>
      <c r="T408" s="27" t="str">
        <f t="shared" si="62"/>
        <v/>
      </c>
      <c r="U408" s="1" t="str">
        <f t="shared" si="67"/>
        <v/>
      </c>
    </row>
    <row r="409" spans="2:21" hidden="1">
      <c r="B409" s="1">
        <f t="shared" si="68"/>
        <v>405</v>
      </c>
      <c r="C409" s="2"/>
      <c r="D409" s="2" t="str">
        <f t="shared" si="63"/>
        <v/>
      </c>
      <c r="E409" s="1" t="str">
        <f t="shared" si="64"/>
        <v/>
      </c>
      <c r="F409" s="1" t="str">
        <f t="shared" si="65"/>
        <v/>
      </c>
      <c r="H409" s="1" t="str">
        <f>IFERROR((VLOOKUP(G409,Backdata!G:H,2,0)),"")</f>
        <v/>
      </c>
      <c r="M409" s="5"/>
      <c r="N409" s="3">
        <f t="shared" si="69"/>
        <v>0</v>
      </c>
      <c r="O409" s="5"/>
      <c r="P409" s="3">
        <f t="shared" si="70"/>
        <v>0</v>
      </c>
      <c r="Q409" s="3">
        <f t="shared" si="66"/>
        <v>0</v>
      </c>
      <c r="T409" s="27" t="str">
        <f t="shared" si="62"/>
        <v/>
      </c>
      <c r="U409" s="1" t="str">
        <f t="shared" si="67"/>
        <v/>
      </c>
    </row>
    <row r="410" spans="2:21" hidden="1">
      <c r="B410" s="1">
        <f t="shared" si="68"/>
        <v>406</v>
      </c>
      <c r="C410" s="2"/>
      <c r="D410" s="2" t="str">
        <f t="shared" si="63"/>
        <v/>
      </c>
      <c r="E410" s="1" t="str">
        <f t="shared" si="64"/>
        <v/>
      </c>
      <c r="F410" s="1" t="str">
        <f t="shared" si="65"/>
        <v/>
      </c>
      <c r="H410" s="1" t="str">
        <f>IFERROR((VLOOKUP(G410,Backdata!G:H,2,0)),"")</f>
        <v/>
      </c>
      <c r="M410" s="5"/>
      <c r="N410" s="3">
        <f t="shared" si="69"/>
        <v>0</v>
      </c>
      <c r="O410" s="5"/>
      <c r="P410" s="3">
        <f t="shared" si="70"/>
        <v>0</v>
      </c>
      <c r="Q410" s="3">
        <f t="shared" si="66"/>
        <v>0</v>
      </c>
      <c r="T410" s="27" t="str">
        <f t="shared" si="62"/>
        <v/>
      </c>
      <c r="U410" s="1" t="str">
        <f t="shared" si="67"/>
        <v/>
      </c>
    </row>
    <row r="411" spans="2:21" hidden="1">
      <c r="B411" s="1">
        <f t="shared" si="68"/>
        <v>407</v>
      </c>
      <c r="C411" s="2"/>
      <c r="D411" s="2" t="str">
        <f t="shared" si="63"/>
        <v/>
      </c>
      <c r="E411" s="1" t="str">
        <f t="shared" si="64"/>
        <v/>
      </c>
      <c r="F411" s="1" t="str">
        <f t="shared" si="65"/>
        <v/>
      </c>
      <c r="H411" s="1" t="str">
        <f>IFERROR((VLOOKUP(G411,Backdata!G:H,2,0)),"")</f>
        <v/>
      </c>
      <c r="M411" s="5"/>
      <c r="N411" s="3">
        <f t="shared" si="69"/>
        <v>0</v>
      </c>
      <c r="O411" s="5"/>
      <c r="P411" s="3">
        <f t="shared" si="70"/>
        <v>0</v>
      </c>
      <c r="Q411" s="3">
        <f t="shared" si="66"/>
        <v>0</v>
      </c>
      <c r="T411" s="27" t="str">
        <f t="shared" si="62"/>
        <v/>
      </c>
      <c r="U411" s="1" t="str">
        <f t="shared" si="67"/>
        <v/>
      </c>
    </row>
    <row r="412" spans="2:21" hidden="1">
      <c r="B412" s="1">
        <f t="shared" si="68"/>
        <v>408</v>
      </c>
      <c r="C412" s="2"/>
      <c r="D412" s="2" t="str">
        <f t="shared" si="63"/>
        <v/>
      </c>
      <c r="E412" s="1" t="str">
        <f t="shared" si="64"/>
        <v/>
      </c>
      <c r="F412" s="1" t="str">
        <f t="shared" si="65"/>
        <v/>
      </c>
      <c r="H412" s="1" t="str">
        <f>IFERROR((VLOOKUP(G412,Backdata!G:H,2,0)),"")</f>
        <v/>
      </c>
      <c r="M412" s="5"/>
      <c r="N412" s="3">
        <f t="shared" si="69"/>
        <v>0</v>
      </c>
      <c r="O412" s="5"/>
      <c r="P412" s="3">
        <f t="shared" si="70"/>
        <v>0</v>
      </c>
      <c r="Q412" s="3">
        <f t="shared" si="66"/>
        <v>0</v>
      </c>
      <c r="T412" s="27" t="str">
        <f t="shared" si="62"/>
        <v/>
      </c>
      <c r="U412" s="1" t="str">
        <f t="shared" si="67"/>
        <v/>
      </c>
    </row>
    <row r="413" spans="2:21" hidden="1">
      <c r="B413" s="1">
        <f t="shared" si="68"/>
        <v>409</v>
      </c>
      <c r="C413" s="2"/>
      <c r="D413" s="2" t="str">
        <f t="shared" si="63"/>
        <v/>
      </c>
      <c r="E413" s="1" t="str">
        <f t="shared" si="64"/>
        <v/>
      </c>
      <c r="F413" s="1" t="str">
        <f t="shared" si="65"/>
        <v/>
      </c>
      <c r="H413" s="1" t="str">
        <f>IFERROR((VLOOKUP(G413,Backdata!G:H,2,0)),"")</f>
        <v/>
      </c>
      <c r="M413" s="5"/>
      <c r="N413" s="3">
        <f t="shared" si="69"/>
        <v>0</v>
      </c>
      <c r="O413" s="5"/>
      <c r="P413" s="3">
        <f t="shared" si="70"/>
        <v>0</v>
      </c>
      <c r="Q413" s="3">
        <f t="shared" si="66"/>
        <v>0</v>
      </c>
      <c r="T413" s="27" t="str">
        <f t="shared" si="62"/>
        <v/>
      </c>
      <c r="U413" s="1" t="str">
        <f t="shared" si="67"/>
        <v/>
      </c>
    </row>
    <row r="414" spans="2:21" hidden="1">
      <c r="B414" s="1">
        <f t="shared" si="68"/>
        <v>410</v>
      </c>
      <c r="C414" s="2"/>
      <c r="D414" s="2" t="str">
        <f t="shared" si="63"/>
        <v/>
      </c>
      <c r="E414" s="1" t="str">
        <f t="shared" si="64"/>
        <v/>
      </c>
      <c r="F414" s="1" t="str">
        <f t="shared" si="65"/>
        <v/>
      </c>
      <c r="H414" s="1" t="str">
        <f>IFERROR((VLOOKUP(G414,Backdata!G:H,2,0)),"")</f>
        <v/>
      </c>
      <c r="M414" s="5"/>
      <c r="N414" s="3">
        <f t="shared" si="69"/>
        <v>0</v>
      </c>
      <c r="O414" s="5"/>
      <c r="P414" s="3">
        <f t="shared" si="70"/>
        <v>0</v>
      </c>
      <c r="Q414" s="3">
        <f t="shared" si="66"/>
        <v>0</v>
      </c>
      <c r="T414" s="27" t="str">
        <f t="shared" si="62"/>
        <v/>
      </c>
      <c r="U414" s="1" t="str">
        <f t="shared" si="67"/>
        <v/>
      </c>
    </row>
    <row r="415" spans="2:21" hidden="1">
      <c r="B415" s="1">
        <f t="shared" si="68"/>
        <v>411</v>
      </c>
      <c r="C415" s="2"/>
      <c r="D415" s="2" t="str">
        <f t="shared" si="63"/>
        <v/>
      </c>
      <c r="E415" s="1" t="str">
        <f t="shared" si="64"/>
        <v/>
      </c>
      <c r="F415" s="1" t="str">
        <f t="shared" si="65"/>
        <v/>
      </c>
      <c r="H415" s="1" t="str">
        <f>IFERROR((VLOOKUP(G415,Backdata!G:H,2,0)),"")</f>
        <v/>
      </c>
      <c r="M415" s="5"/>
      <c r="N415" s="3">
        <f t="shared" si="69"/>
        <v>0</v>
      </c>
      <c r="O415" s="5"/>
      <c r="P415" s="3">
        <f t="shared" si="70"/>
        <v>0</v>
      </c>
      <c r="Q415" s="3">
        <f t="shared" si="66"/>
        <v>0</v>
      </c>
      <c r="T415" s="27" t="str">
        <f t="shared" si="62"/>
        <v/>
      </c>
      <c r="U415" s="1" t="str">
        <f t="shared" si="67"/>
        <v/>
      </c>
    </row>
    <row r="416" spans="2:21" hidden="1">
      <c r="B416" s="1">
        <f t="shared" si="68"/>
        <v>412</v>
      </c>
      <c r="C416" s="2"/>
      <c r="D416" s="2" t="str">
        <f t="shared" si="63"/>
        <v/>
      </c>
      <c r="E416" s="1" t="str">
        <f t="shared" si="64"/>
        <v/>
      </c>
      <c r="F416" s="1" t="str">
        <f t="shared" si="65"/>
        <v/>
      </c>
      <c r="H416" s="1" t="str">
        <f>IFERROR((VLOOKUP(G416,Backdata!G:H,2,0)),"")</f>
        <v/>
      </c>
      <c r="M416" s="5"/>
      <c r="N416" s="3">
        <f t="shared" si="69"/>
        <v>0</v>
      </c>
      <c r="O416" s="5"/>
      <c r="P416" s="3">
        <f t="shared" si="70"/>
        <v>0</v>
      </c>
      <c r="Q416" s="3">
        <f t="shared" si="66"/>
        <v>0</v>
      </c>
      <c r="T416" s="27" t="str">
        <f t="shared" si="62"/>
        <v/>
      </c>
      <c r="U416" s="1" t="str">
        <f t="shared" si="67"/>
        <v/>
      </c>
    </row>
    <row r="417" spans="2:21" hidden="1">
      <c r="B417" s="1">
        <f t="shared" si="68"/>
        <v>413</v>
      </c>
      <c r="C417" s="2"/>
      <c r="D417" s="2" t="str">
        <f t="shared" si="63"/>
        <v/>
      </c>
      <c r="E417" s="1" t="str">
        <f t="shared" si="64"/>
        <v/>
      </c>
      <c r="F417" s="1" t="str">
        <f t="shared" si="65"/>
        <v/>
      </c>
      <c r="H417" s="1" t="str">
        <f>IFERROR((VLOOKUP(G417,Backdata!G:H,2,0)),"")</f>
        <v/>
      </c>
      <c r="M417" s="5"/>
      <c r="N417" s="3">
        <f t="shared" si="69"/>
        <v>0</v>
      </c>
      <c r="O417" s="5"/>
      <c r="P417" s="3">
        <f t="shared" si="70"/>
        <v>0</v>
      </c>
      <c r="Q417" s="3">
        <f t="shared" si="66"/>
        <v>0</v>
      </c>
      <c r="T417" s="27" t="str">
        <f t="shared" si="62"/>
        <v/>
      </c>
      <c r="U417" s="1" t="str">
        <f t="shared" si="67"/>
        <v/>
      </c>
    </row>
    <row r="418" spans="2:21" hidden="1">
      <c r="B418" s="1">
        <f t="shared" si="68"/>
        <v>414</v>
      </c>
      <c r="C418" s="2"/>
      <c r="D418" s="2" t="str">
        <f t="shared" si="63"/>
        <v/>
      </c>
      <c r="E418" s="1" t="str">
        <f t="shared" si="64"/>
        <v/>
      </c>
      <c r="F418" s="1" t="str">
        <f t="shared" si="65"/>
        <v/>
      </c>
      <c r="H418" s="1" t="str">
        <f>IFERROR((VLOOKUP(G418,Backdata!G:H,2,0)),"")</f>
        <v/>
      </c>
      <c r="M418" s="5"/>
      <c r="N418" s="3">
        <f t="shared" si="69"/>
        <v>0</v>
      </c>
      <c r="O418" s="5"/>
      <c r="P418" s="3">
        <f t="shared" si="70"/>
        <v>0</v>
      </c>
      <c r="Q418" s="3">
        <f t="shared" si="66"/>
        <v>0</v>
      </c>
      <c r="T418" s="27" t="str">
        <f t="shared" si="62"/>
        <v/>
      </c>
      <c r="U418" s="1" t="str">
        <f t="shared" si="67"/>
        <v/>
      </c>
    </row>
    <row r="419" spans="2:21" hidden="1">
      <c r="B419" s="1">
        <f t="shared" si="68"/>
        <v>415</v>
      </c>
      <c r="C419" s="2"/>
      <c r="D419" s="2" t="str">
        <f t="shared" si="63"/>
        <v/>
      </c>
      <c r="E419" s="1" t="str">
        <f t="shared" si="64"/>
        <v/>
      </c>
      <c r="F419" s="1" t="str">
        <f t="shared" si="65"/>
        <v/>
      </c>
      <c r="H419" s="1" t="str">
        <f>IFERROR((VLOOKUP(G419,Backdata!G:H,2,0)),"")</f>
        <v/>
      </c>
      <c r="M419" s="5"/>
      <c r="N419" s="3">
        <f t="shared" si="69"/>
        <v>0</v>
      </c>
      <c r="O419" s="5"/>
      <c r="P419" s="3">
        <f t="shared" si="70"/>
        <v>0</v>
      </c>
      <c r="Q419" s="3">
        <f t="shared" si="66"/>
        <v>0</v>
      </c>
      <c r="T419" s="27" t="str">
        <f t="shared" si="62"/>
        <v/>
      </c>
      <c r="U419" s="1" t="str">
        <f t="shared" si="67"/>
        <v/>
      </c>
    </row>
    <row r="420" spans="2:21" hidden="1">
      <c r="B420" s="1">
        <f t="shared" si="68"/>
        <v>416</v>
      </c>
      <c r="C420" s="2"/>
      <c r="D420" s="2" t="str">
        <f t="shared" si="63"/>
        <v/>
      </c>
      <c r="E420" s="1" t="str">
        <f t="shared" si="64"/>
        <v/>
      </c>
      <c r="F420" s="1" t="str">
        <f t="shared" si="65"/>
        <v/>
      </c>
      <c r="H420" s="1" t="str">
        <f>IFERROR((VLOOKUP(G420,Backdata!G:H,2,0)),"")</f>
        <v/>
      </c>
      <c r="M420" s="5"/>
      <c r="N420" s="3">
        <f t="shared" si="69"/>
        <v>0</v>
      </c>
      <c r="O420" s="5"/>
      <c r="P420" s="3">
        <f t="shared" si="70"/>
        <v>0</v>
      </c>
      <c r="Q420" s="3">
        <f t="shared" si="66"/>
        <v>0</v>
      </c>
      <c r="T420" s="27" t="str">
        <f t="shared" si="62"/>
        <v/>
      </c>
      <c r="U420" s="1" t="str">
        <f t="shared" si="67"/>
        <v/>
      </c>
    </row>
    <row r="421" spans="2:21" hidden="1">
      <c r="B421" s="1">
        <f t="shared" si="68"/>
        <v>417</v>
      </c>
      <c r="C421" s="2"/>
      <c r="D421" s="2" t="str">
        <f t="shared" si="63"/>
        <v/>
      </c>
      <c r="E421" s="1" t="str">
        <f t="shared" si="64"/>
        <v/>
      </c>
      <c r="F421" s="1" t="str">
        <f t="shared" si="65"/>
        <v/>
      </c>
      <c r="H421" s="1" t="str">
        <f>IFERROR((VLOOKUP(G421,Backdata!G:H,2,0)),"")</f>
        <v/>
      </c>
      <c r="M421" s="5"/>
      <c r="N421" s="3">
        <f t="shared" si="69"/>
        <v>0</v>
      </c>
      <c r="O421" s="5"/>
      <c r="P421" s="3">
        <f t="shared" si="70"/>
        <v>0</v>
      </c>
      <c r="Q421" s="3">
        <f t="shared" si="66"/>
        <v>0</v>
      </c>
      <c r="T421" s="27" t="str">
        <f t="shared" si="62"/>
        <v/>
      </c>
      <c r="U421" s="1" t="str">
        <f t="shared" si="67"/>
        <v/>
      </c>
    </row>
    <row r="422" spans="2:21" hidden="1">
      <c r="B422" s="1">
        <f t="shared" si="68"/>
        <v>418</v>
      </c>
      <c r="C422" s="2"/>
      <c r="D422" s="2" t="str">
        <f t="shared" si="63"/>
        <v/>
      </c>
      <c r="E422" s="1" t="str">
        <f t="shared" si="64"/>
        <v/>
      </c>
      <c r="F422" s="1" t="str">
        <f t="shared" si="65"/>
        <v/>
      </c>
      <c r="H422" s="1" t="str">
        <f>IFERROR((VLOOKUP(G422,Backdata!G:H,2,0)),"")</f>
        <v/>
      </c>
      <c r="M422" s="5"/>
      <c r="N422" s="3">
        <f t="shared" si="69"/>
        <v>0</v>
      </c>
      <c r="O422" s="5"/>
      <c r="P422" s="3">
        <f t="shared" si="70"/>
        <v>0</v>
      </c>
      <c r="Q422" s="3">
        <f t="shared" si="66"/>
        <v>0</v>
      </c>
      <c r="T422" s="27" t="str">
        <f t="shared" si="62"/>
        <v/>
      </c>
      <c r="U422" s="1" t="str">
        <f t="shared" si="67"/>
        <v/>
      </c>
    </row>
    <row r="423" spans="2:21" hidden="1">
      <c r="B423" s="1">
        <f t="shared" si="68"/>
        <v>419</v>
      </c>
      <c r="C423" s="2"/>
      <c r="D423" s="2" t="str">
        <f t="shared" si="63"/>
        <v/>
      </c>
      <c r="E423" s="1" t="str">
        <f t="shared" si="64"/>
        <v/>
      </c>
      <c r="F423" s="1" t="str">
        <f t="shared" si="65"/>
        <v/>
      </c>
      <c r="H423" s="1" t="str">
        <f>IFERROR((VLOOKUP(G423,Backdata!G:H,2,0)),"")</f>
        <v/>
      </c>
      <c r="M423" s="5"/>
      <c r="N423" s="3">
        <f t="shared" si="69"/>
        <v>0</v>
      </c>
      <c r="O423" s="5"/>
      <c r="P423" s="3">
        <f t="shared" si="70"/>
        <v>0</v>
      </c>
      <c r="Q423" s="3">
        <f t="shared" si="66"/>
        <v>0</v>
      </c>
      <c r="T423" s="27" t="str">
        <f t="shared" si="62"/>
        <v/>
      </c>
      <c r="U423" s="1" t="str">
        <f t="shared" si="67"/>
        <v/>
      </c>
    </row>
    <row r="424" spans="2:21" hidden="1">
      <c r="B424" s="1">
        <f t="shared" si="68"/>
        <v>420</v>
      </c>
      <c r="C424" s="2"/>
      <c r="D424" s="2" t="str">
        <f t="shared" si="63"/>
        <v/>
      </c>
      <c r="E424" s="1" t="str">
        <f t="shared" si="64"/>
        <v/>
      </c>
      <c r="F424" s="1" t="str">
        <f t="shared" si="65"/>
        <v/>
      </c>
      <c r="H424" s="1" t="str">
        <f>IFERROR((VLOOKUP(G424,Backdata!G:H,2,0)),"")</f>
        <v/>
      </c>
      <c r="M424" s="5"/>
      <c r="N424" s="3">
        <f t="shared" si="69"/>
        <v>0</v>
      </c>
      <c r="O424" s="5"/>
      <c r="P424" s="3">
        <f t="shared" si="70"/>
        <v>0</v>
      </c>
      <c r="Q424" s="3">
        <f t="shared" si="66"/>
        <v>0</v>
      </c>
      <c r="T424" s="27" t="str">
        <f t="shared" si="62"/>
        <v/>
      </c>
      <c r="U424" s="1" t="str">
        <f t="shared" si="67"/>
        <v/>
      </c>
    </row>
    <row r="425" spans="2:21" hidden="1">
      <c r="B425" s="1">
        <f t="shared" si="68"/>
        <v>421</v>
      </c>
      <c r="C425" s="2"/>
      <c r="D425" s="2" t="str">
        <f t="shared" si="63"/>
        <v/>
      </c>
      <c r="E425" s="1" t="str">
        <f t="shared" si="64"/>
        <v/>
      </c>
      <c r="F425" s="1" t="str">
        <f t="shared" si="65"/>
        <v/>
      </c>
      <c r="H425" s="1" t="str">
        <f>IFERROR((VLOOKUP(G425,Backdata!G:H,2,0)),"")</f>
        <v/>
      </c>
      <c r="M425" s="5"/>
      <c r="N425" s="3">
        <f t="shared" si="69"/>
        <v>0</v>
      </c>
      <c r="O425" s="5"/>
      <c r="P425" s="3">
        <f t="shared" si="70"/>
        <v>0</v>
      </c>
      <c r="Q425" s="3">
        <f t="shared" si="66"/>
        <v>0</v>
      </c>
      <c r="T425" s="27" t="str">
        <f t="shared" si="62"/>
        <v/>
      </c>
      <c r="U425" s="1" t="str">
        <f t="shared" si="67"/>
        <v/>
      </c>
    </row>
    <row r="426" spans="2:21" hidden="1">
      <c r="B426" s="1">
        <f t="shared" si="68"/>
        <v>422</v>
      </c>
      <c r="C426" s="2"/>
      <c r="D426" s="2" t="str">
        <f t="shared" si="63"/>
        <v/>
      </c>
      <c r="E426" s="1" t="str">
        <f t="shared" si="64"/>
        <v/>
      </c>
      <c r="F426" s="1" t="str">
        <f t="shared" si="65"/>
        <v/>
      </c>
      <c r="H426" s="1" t="str">
        <f>IFERROR((VLOOKUP(G426,Backdata!G:H,2,0)),"")</f>
        <v/>
      </c>
      <c r="M426" s="5"/>
      <c r="N426" s="3">
        <f t="shared" si="69"/>
        <v>0</v>
      </c>
      <c r="O426" s="5"/>
      <c r="P426" s="3">
        <f t="shared" si="70"/>
        <v>0</v>
      </c>
      <c r="Q426" s="3">
        <f t="shared" si="66"/>
        <v>0</v>
      </c>
      <c r="T426" s="27" t="str">
        <f t="shared" si="62"/>
        <v/>
      </c>
      <c r="U426" s="1" t="str">
        <f t="shared" si="67"/>
        <v/>
      </c>
    </row>
    <row r="427" spans="2:21" hidden="1">
      <c r="B427" s="1">
        <f t="shared" si="68"/>
        <v>423</v>
      </c>
      <c r="C427" s="2"/>
      <c r="D427" s="2" t="str">
        <f t="shared" si="63"/>
        <v/>
      </c>
      <c r="E427" s="1" t="str">
        <f t="shared" si="64"/>
        <v/>
      </c>
      <c r="F427" s="1" t="str">
        <f t="shared" si="65"/>
        <v/>
      </c>
      <c r="H427" s="1" t="str">
        <f>IFERROR((VLOOKUP(G427,Backdata!G:H,2,0)),"")</f>
        <v/>
      </c>
      <c r="M427" s="5"/>
      <c r="N427" s="3">
        <f t="shared" si="69"/>
        <v>0</v>
      </c>
      <c r="O427" s="5"/>
      <c r="P427" s="3">
        <f t="shared" si="70"/>
        <v>0</v>
      </c>
      <c r="Q427" s="3">
        <f t="shared" si="66"/>
        <v>0</v>
      </c>
      <c r="T427" s="27" t="str">
        <f t="shared" si="62"/>
        <v/>
      </c>
      <c r="U427" s="1" t="str">
        <f t="shared" si="67"/>
        <v/>
      </c>
    </row>
    <row r="428" spans="2:21" hidden="1">
      <c r="B428" s="1">
        <f t="shared" si="68"/>
        <v>424</v>
      </c>
      <c r="C428" s="2"/>
      <c r="D428" s="2" t="str">
        <f t="shared" si="63"/>
        <v/>
      </c>
      <c r="E428" s="1" t="str">
        <f t="shared" si="64"/>
        <v/>
      </c>
      <c r="F428" s="1" t="str">
        <f t="shared" si="65"/>
        <v/>
      </c>
      <c r="H428" s="1" t="str">
        <f>IFERROR((VLOOKUP(G428,Backdata!G:H,2,0)),"")</f>
        <v/>
      </c>
      <c r="M428" s="5"/>
      <c r="N428" s="3">
        <f t="shared" si="69"/>
        <v>0</v>
      </c>
      <c r="O428" s="5"/>
      <c r="P428" s="3">
        <f t="shared" si="70"/>
        <v>0</v>
      </c>
      <c r="Q428" s="3">
        <f t="shared" si="66"/>
        <v>0</v>
      </c>
      <c r="T428" s="27" t="str">
        <f t="shared" si="62"/>
        <v/>
      </c>
      <c r="U428" s="1" t="str">
        <f t="shared" si="67"/>
        <v/>
      </c>
    </row>
    <row r="429" spans="2:21" hidden="1">
      <c r="B429" s="1">
        <f t="shared" si="68"/>
        <v>425</v>
      </c>
      <c r="C429" s="2"/>
      <c r="D429" s="2" t="str">
        <f t="shared" si="63"/>
        <v/>
      </c>
      <c r="E429" s="1" t="str">
        <f t="shared" si="64"/>
        <v/>
      </c>
      <c r="F429" s="1" t="str">
        <f t="shared" si="65"/>
        <v/>
      </c>
      <c r="H429" s="1" t="str">
        <f>IFERROR((VLOOKUP(G429,Backdata!G:H,2,0)),"")</f>
        <v/>
      </c>
      <c r="M429" s="5"/>
      <c r="N429" s="3">
        <f t="shared" si="69"/>
        <v>0</v>
      </c>
      <c r="O429" s="5"/>
      <c r="P429" s="3">
        <f t="shared" si="70"/>
        <v>0</v>
      </c>
      <c r="Q429" s="3">
        <f t="shared" si="66"/>
        <v>0</v>
      </c>
      <c r="T429" s="27" t="str">
        <f t="shared" si="62"/>
        <v/>
      </c>
      <c r="U429" s="1" t="str">
        <f t="shared" si="67"/>
        <v/>
      </c>
    </row>
    <row r="430" spans="2:21" hidden="1">
      <c r="B430" s="1">
        <f t="shared" si="68"/>
        <v>426</v>
      </c>
      <c r="C430" s="2"/>
      <c r="D430" s="2" t="str">
        <f t="shared" si="63"/>
        <v/>
      </c>
      <c r="E430" s="1" t="str">
        <f t="shared" si="64"/>
        <v/>
      </c>
      <c r="F430" s="1" t="str">
        <f t="shared" si="65"/>
        <v/>
      </c>
      <c r="H430" s="1" t="str">
        <f>IFERROR((VLOOKUP(G430,Backdata!G:H,2,0)),"")</f>
        <v/>
      </c>
      <c r="M430" s="5"/>
      <c r="N430" s="3">
        <f t="shared" si="69"/>
        <v>0</v>
      </c>
      <c r="O430" s="5"/>
      <c r="P430" s="3">
        <f t="shared" si="70"/>
        <v>0</v>
      </c>
      <c r="Q430" s="3">
        <f t="shared" si="66"/>
        <v>0</v>
      </c>
      <c r="T430" s="27" t="str">
        <f t="shared" si="62"/>
        <v/>
      </c>
      <c r="U430" s="1" t="str">
        <f t="shared" si="67"/>
        <v/>
      </c>
    </row>
    <row r="431" spans="2:21" hidden="1">
      <c r="B431" s="1">
        <f t="shared" si="68"/>
        <v>427</v>
      </c>
      <c r="C431" s="2"/>
      <c r="D431" s="2" t="str">
        <f t="shared" si="63"/>
        <v/>
      </c>
      <c r="E431" s="1" t="str">
        <f t="shared" si="64"/>
        <v/>
      </c>
      <c r="F431" s="1" t="str">
        <f t="shared" si="65"/>
        <v/>
      </c>
      <c r="H431" s="1" t="str">
        <f>IFERROR((VLOOKUP(G431,Backdata!G:H,2,0)),"")</f>
        <v/>
      </c>
      <c r="M431" s="5"/>
      <c r="N431" s="3">
        <f t="shared" si="69"/>
        <v>0</v>
      </c>
      <c r="O431" s="5"/>
      <c r="P431" s="3">
        <f t="shared" si="70"/>
        <v>0</v>
      </c>
      <c r="Q431" s="3">
        <f t="shared" si="66"/>
        <v>0</v>
      </c>
      <c r="T431" s="27" t="str">
        <f t="shared" si="62"/>
        <v/>
      </c>
      <c r="U431" s="1" t="str">
        <f t="shared" si="67"/>
        <v/>
      </c>
    </row>
    <row r="432" spans="2:21" hidden="1">
      <c r="B432" s="1">
        <f t="shared" si="68"/>
        <v>428</v>
      </c>
      <c r="C432" s="2"/>
      <c r="D432" s="2" t="str">
        <f t="shared" si="63"/>
        <v/>
      </c>
      <c r="E432" s="1" t="str">
        <f t="shared" si="64"/>
        <v/>
      </c>
      <c r="F432" s="1" t="str">
        <f t="shared" si="65"/>
        <v/>
      </c>
      <c r="H432" s="1" t="str">
        <f>IFERROR((VLOOKUP(G432,Backdata!G:H,2,0)),"")</f>
        <v/>
      </c>
      <c r="M432" s="5"/>
      <c r="N432" s="3">
        <f t="shared" si="69"/>
        <v>0</v>
      </c>
      <c r="O432" s="5"/>
      <c r="P432" s="3">
        <f t="shared" si="70"/>
        <v>0</v>
      </c>
      <c r="Q432" s="3">
        <f t="shared" si="66"/>
        <v>0</v>
      </c>
      <c r="T432" s="27" t="str">
        <f t="shared" si="62"/>
        <v/>
      </c>
      <c r="U432" s="1" t="str">
        <f t="shared" si="67"/>
        <v/>
      </c>
    </row>
    <row r="433" spans="2:21" hidden="1">
      <c r="B433" s="1">
        <f t="shared" si="68"/>
        <v>429</v>
      </c>
      <c r="C433" s="2"/>
      <c r="D433" s="2" t="str">
        <f t="shared" si="63"/>
        <v/>
      </c>
      <c r="E433" s="1" t="str">
        <f t="shared" si="64"/>
        <v/>
      </c>
      <c r="F433" s="1" t="str">
        <f t="shared" si="65"/>
        <v/>
      </c>
      <c r="H433" s="1" t="str">
        <f>IFERROR((VLOOKUP(G433,Backdata!G:H,2,0)),"")</f>
        <v/>
      </c>
      <c r="M433" s="5"/>
      <c r="N433" s="3">
        <f t="shared" si="69"/>
        <v>0</v>
      </c>
      <c r="O433" s="5"/>
      <c r="P433" s="3">
        <f t="shared" si="70"/>
        <v>0</v>
      </c>
      <c r="Q433" s="3">
        <f t="shared" si="66"/>
        <v>0</v>
      </c>
      <c r="T433" s="27" t="str">
        <f t="shared" si="62"/>
        <v/>
      </c>
      <c r="U433" s="1" t="str">
        <f t="shared" si="67"/>
        <v/>
      </c>
    </row>
    <row r="434" spans="2:21" hidden="1">
      <c r="B434" s="1">
        <f t="shared" si="68"/>
        <v>430</v>
      </c>
      <c r="C434" s="2"/>
      <c r="D434" s="2" t="str">
        <f t="shared" si="63"/>
        <v/>
      </c>
      <c r="E434" s="1" t="str">
        <f t="shared" si="64"/>
        <v/>
      </c>
      <c r="F434" s="1" t="str">
        <f t="shared" si="65"/>
        <v/>
      </c>
      <c r="H434" s="1" t="str">
        <f>IFERROR((VLOOKUP(G434,Backdata!G:H,2,0)),"")</f>
        <v/>
      </c>
      <c r="M434" s="5"/>
      <c r="N434" s="3">
        <f t="shared" si="69"/>
        <v>0</v>
      </c>
      <c r="O434" s="5"/>
      <c r="P434" s="3">
        <f t="shared" si="70"/>
        <v>0</v>
      </c>
      <c r="Q434" s="3">
        <f t="shared" si="66"/>
        <v>0</v>
      </c>
      <c r="T434" s="27" t="str">
        <f t="shared" si="62"/>
        <v/>
      </c>
      <c r="U434" s="1" t="str">
        <f t="shared" si="67"/>
        <v/>
      </c>
    </row>
    <row r="435" spans="2:21" hidden="1">
      <c r="B435" s="1">
        <f t="shared" si="68"/>
        <v>431</v>
      </c>
      <c r="C435" s="2"/>
      <c r="D435" s="2" t="str">
        <f t="shared" si="63"/>
        <v/>
      </c>
      <c r="E435" s="1" t="str">
        <f t="shared" si="64"/>
        <v/>
      </c>
      <c r="F435" s="1" t="str">
        <f t="shared" si="65"/>
        <v/>
      </c>
      <c r="H435" s="1" t="str">
        <f>IFERROR((VLOOKUP(G435,Backdata!G:H,2,0)),"")</f>
        <v/>
      </c>
      <c r="M435" s="5"/>
      <c r="N435" s="3">
        <f t="shared" si="69"/>
        <v>0</v>
      </c>
      <c r="O435" s="5"/>
      <c r="P435" s="3">
        <f t="shared" si="70"/>
        <v>0</v>
      </c>
      <c r="Q435" s="3">
        <f t="shared" si="66"/>
        <v>0</v>
      </c>
      <c r="T435" s="27" t="str">
        <f t="shared" si="62"/>
        <v/>
      </c>
      <c r="U435" s="1" t="str">
        <f t="shared" si="67"/>
        <v/>
      </c>
    </row>
    <row r="436" spans="2:21" hidden="1">
      <c r="B436" s="1">
        <f t="shared" si="68"/>
        <v>432</v>
      </c>
      <c r="C436" s="2"/>
      <c r="D436" s="2" t="str">
        <f t="shared" si="63"/>
        <v/>
      </c>
      <c r="E436" s="1" t="str">
        <f t="shared" si="64"/>
        <v/>
      </c>
      <c r="F436" s="1" t="str">
        <f t="shared" si="65"/>
        <v/>
      </c>
      <c r="H436" s="1" t="str">
        <f>IFERROR((VLOOKUP(G436,Backdata!G:H,2,0)),"")</f>
        <v/>
      </c>
      <c r="M436" s="5"/>
      <c r="N436" s="3">
        <f t="shared" si="69"/>
        <v>0</v>
      </c>
      <c r="O436" s="5"/>
      <c r="P436" s="3">
        <f t="shared" si="70"/>
        <v>0</v>
      </c>
      <c r="Q436" s="3">
        <f t="shared" si="66"/>
        <v>0</v>
      </c>
      <c r="T436" s="27" t="str">
        <f t="shared" si="62"/>
        <v/>
      </c>
      <c r="U436" s="1" t="str">
        <f t="shared" si="67"/>
        <v/>
      </c>
    </row>
    <row r="437" spans="2:21" hidden="1">
      <c r="B437" s="1">
        <f t="shared" si="68"/>
        <v>433</v>
      </c>
      <c r="C437" s="2"/>
      <c r="D437" s="2" t="str">
        <f t="shared" si="63"/>
        <v/>
      </c>
      <c r="E437" s="1" t="str">
        <f t="shared" si="64"/>
        <v/>
      </c>
      <c r="F437" s="1" t="str">
        <f t="shared" si="65"/>
        <v/>
      </c>
      <c r="H437" s="1" t="str">
        <f>IFERROR((VLOOKUP(G437,Backdata!G:H,2,0)),"")</f>
        <v/>
      </c>
      <c r="M437" s="5"/>
      <c r="N437" s="3">
        <f t="shared" si="69"/>
        <v>0</v>
      </c>
      <c r="O437" s="5"/>
      <c r="P437" s="3">
        <f t="shared" si="70"/>
        <v>0</v>
      </c>
      <c r="Q437" s="3">
        <f t="shared" si="66"/>
        <v>0</v>
      </c>
      <c r="T437" s="27" t="str">
        <f t="shared" si="62"/>
        <v/>
      </c>
      <c r="U437" s="1" t="str">
        <f t="shared" si="67"/>
        <v/>
      </c>
    </row>
    <row r="438" spans="2:21" hidden="1">
      <c r="B438" s="1">
        <f t="shared" si="68"/>
        <v>434</v>
      </c>
      <c r="C438" s="2"/>
      <c r="D438" s="2" t="str">
        <f t="shared" si="63"/>
        <v/>
      </c>
      <c r="E438" s="1" t="str">
        <f t="shared" si="64"/>
        <v/>
      </c>
      <c r="F438" s="1" t="str">
        <f t="shared" si="65"/>
        <v/>
      </c>
      <c r="H438" s="1" t="str">
        <f>IFERROR((VLOOKUP(G438,Backdata!G:H,2,0)),"")</f>
        <v/>
      </c>
      <c r="M438" s="5"/>
      <c r="N438" s="3">
        <f t="shared" si="69"/>
        <v>0</v>
      </c>
      <c r="O438" s="5"/>
      <c r="P438" s="3">
        <f t="shared" si="70"/>
        <v>0</v>
      </c>
      <c r="Q438" s="3">
        <f t="shared" si="66"/>
        <v>0</v>
      </c>
      <c r="T438" s="27" t="str">
        <f t="shared" si="62"/>
        <v/>
      </c>
      <c r="U438" s="1" t="str">
        <f t="shared" si="67"/>
        <v/>
      </c>
    </row>
    <row r="439" spans="2:21" hidden="1">
      <c r="B439" s="1">
        <f t="shared" si="68"/>
        <v>435</v>
      </c>
      <c r="C439" s="2"/>
      <c r="D439" s="2" t="str">
        <f t="shared" si="63"/>
        <v/>
      </c>
      <c r="E439" s="1" t="str">
        <f t="shared" si="64"/>
        <v/>
      </c>
      <c r="F439" s="1" t="str">
        <f t="shared" si="65"/>
        <v/>
      </c>
      <c r="H439" s="1" t="str">
        <f>IFERROR((VLOOKUP(G439,Backdata!G:H,2,0)),"")</f>
        <v/>
      </c>
      <c r="M439" s="5"/>
      <c r="N439" s="3">
        <f t="shared" si="69"/>
        <v>0</v>
      </c>
      <c r="O439" s="5"/>
      <c r="P439" s="3">
        <f t="shared" si="70"/>
        <v>0</v>
      </c>
      <c r="Q439" s="3">
        <f t="shared" si="66"/>
        <v>0</v>
      </c>
      <c r="T439" s="27" t="str">
        <f t="shared" si="62"/>
        <v/>
      </c>
      <c r="U439" s="1" t="str">
        <f t="shared" si="67"/>
        <v/>
      </c>
    </row>
    <row r="440" spans="2:21" hidden="1">
      <c r="B440" s="1">
        <f t="shared" si="68"/>
        <v>436</v>
      </c>
      <c r="C440" s="2"/>
      <c r="D440" s="2" t="str">
        <f t="shared" si="63"/>
        <v/>
      </c>
      <c r="E440" s="1" t="str">
        <f t="shared" si="64"/>
        <v/>
      </c>
      <c r="F440" s="1" t="str">
        <f t="shared" si="65"/>
        <v/>
      </c>
      <c r="H440" s="1" t="str">
        <f>IFERROR((VLOOKUP(G440,Backdata!G:H,2,0)),"")</f>
        <v/>
      </c>
      <c r="M440" s="5"/>
      <c r="N440" s="3">
        <f t="shared" si="69"/>
        <v>0</v>
      </c>
      <c r="O440" s="5"/>
      <c r="P440" s="3">
        <f t="shared" si="70"/>
        <v>0</v>
      </c>
      <c r="Q440" s="3">
        <f t="shared" si="66"/>
        <v>0</v>
      </c>
      <c r="T440" s="27" t="str">
        <f t="shared" si="62"/>
        <v/>
      </c>
      <c r="U440" s="1" t="str">
        <f t="shared" si="67"/>
        <v/>
      </c>
    </row>
    <row r="441" spans="2:21" hidden="1">
      <c r="B441" s="1">
        <f t="shared" si="68"/>
        <v>437</v>
      </c>
      <c r="C441" s="2"/>
      <c r="D441" s="2" t="str">
        <f t="shared" si="63"/>
        <v/>
      </c>
      <c r="E441" s="1" t="str">
        <f t="shared" si="64"/>
        <v/>
      </c>
      <c r="F441" s="1" t="str">
        <f t="shared" si="65"/>
        <v/>
      </c>
      <c r="H441" s="1" t="str">
        <f>IFERROR((VLOOKUP(G441,Backdata!G:H,2,0)),"")</f>
        <v/>
      </c>
      <c r="M441" s="5"/>
      <c r="N441" s="3">
        <f t="shared" si="69"/>
        <v>0</v>
      </c>
      <c r="O441" s="5"/>
      <c r="P441" s="3">
        <f t="shared" si="70"/>
        <v>0</v>
      </c>
      <c r="Q441" s="3">
        <f t="shared" si="66"/>
        <v>0</v>
      </c>
      <c r="T441" s="27" t="str">
        <f t="shared" ref="T441:T504" si="71">IF(OR(I441="타이어",I441=""),"",C441)</f>
        <v/>
      </c>
      <c r="U441" s="1" t="str">
        <f t="shared" si="67"/>
        <v/>
      </c>
    </row>
    <row r="442" spans="2:21" hidden="1">
      <c r="B442" s="1">
        <f t="shared" si="68"/>
        <v>438</v>
      </c>
      <c r="C442" s="2"/>
      <c r="D442" s="2" t="str">
        <f t="shared" si="63"/>
        <v/>
      </c>
      <c r="E442" s="1" t="str">
        <f t="shared" si="64"/>
        <v/>
      </c>
      <c r="F442" s="1" t="str">
        <f t="shared" si="65"/>
        <v/>
      </c>
      <c r="H442" s="1" t="str">
        <f>IFERROR((VLOOKUP(G442,Backdata!G:H,2,0)),"")</f>
        <v/>
      </c>
      <c r="M442" s="5"/>
      <c r="N442" s="3">
        <f t="shared" si="69"/>
        <v>0</v>
      </c>
      <c r="O442" s="5"/>
      <c r="P442" s="3">
        <f t="shared" si="70"/>
        <v>0</v>
      </c>
      <c r="Q442" s="3">
        <f t="shared" si="66"/>
        <v>0</v>
      </c>
      <c r="T442" s="27" t="str">
        <f t="shared" si="71"/>
        <v/>
      </c>
      <c r="U442" s="1" t="str">
        <f t="shared" si="67"/>
        <v/>
      </c>
    </row>
    <row r="443" spans="2:21" hidden="1">
      <c r="B443" s="1">
        <f t="shared" si="68"/>
        <v>439</v>
      </c>
      <c r="C443" s="2"/>
      <c r="D443" s="2" t="str">
        <f t="shared" si="63"/>
        <v/>
      </c>
      <c r="E443" s="1" t="str">
        <f t="shared" si="64"/>
        <v/>
      </c>
      <c r="F443" s="1" t="str">
        <f t="shared" si="65"/>
        <v/>
      </c>
      <c r="H443" s="1" t="str">
        <f>IFERROR((VLOOKUP(G443,Backdata!G:H,2,0)),"")</f>
        <v/>
      </c>
      <c r="M443" s="5"/>
      <c r="N443" s="3">
        <f t="shared" si="69"/>
        <v>0</v>
      </c>
      <c r="O443" s="5"/>
      <c r="P443" s="3">
        <f t="shared" si="70"/>
        <v>0</v>
      </c>
      <c r="Q443" s="3">
        <f t="shared" si="66"/>
        <v>0</v>
      </c>
      <c r="T443" s="27" t="str">
        <f t="shared" si="71"/>
        <v/>
      </c>
      <c r="U443" s="1" t="str">
        <f t="shared" si="67"/>
        <v/>
      </c>
    </row>
    <row r="444" spans="2:21" hidden="1">
      <c r="B444" s="1">
        <f t="shared" si="68"/>
        <v>440</v>
      </c>
      <c r="C444" s="2"/>
      <c r="D444" s="2" t="str">
        <f t="shared" si="63"/>
        <v/>
      </c>
      <c r="E444" s="1" t="str">
        <f t="shared" si="64"/>
        <v/>
      </c>
      <c r="F444" s="1" t="str">
        <f t="shared" si="65"/>
        <v/>
      </c>
      <c r="H444" s="1" t="str">
        <f>IFERROR((VLOOKUP(G444,Backdata!G:H,2,0)),"")</f>
        <v/>
      </c>
      <c r="M444" s="5"/>
      <c r="N444" s="3">
        <f t="shared" si="69"/>
        <v>0</v>
      </c>
      <c r="O444" s="5"/>
      <c r="P444" s="3">
        <f t="shared" si="70"/>
        <v>0</v>
      </c>
      <c r="Q444" s="3">
        <f t="shared" si="66"/>
        <v>0</v>
      </c>
      <c r="T444" s="27" t="str">
        <f t="shared" si="71"/>
        <v/>
      </c>
      <c r="U444" s="1" t="str">
        <f t="shared" si="67"/>
        <v/>
      </c>
    </row>
    <row r="445" spans="2:21" hidden="1">
      <c r="B445" s="1">
        <f t="shared" si="68"/>
        <v>441</v>
      </c>
      <c r="C445" s="2"/>
      <c r="D445" s="2" t="str">
        <f t="shared" si="63"/>
        <v/>
      </c>
      <c r="E445" s="1" t="str">
        <f t="shared" si="64"/>
        <v/>
      </c>
      <c r="F445" s="1" t="str">
        <f t="shared" si="65"/>
        <v/>
      </c>
      <c r="H445" s="1" t="str">
        <f>IFERROR((VLOOKUP(G445,Backdata!G:H,2,0)),"")</f>
        <v/>
      </c>
      <c r="M445" s="5"/>
      <c r="N445" s="3">
        <f t="shared" si="69"/>
        <v>0</v>
      </c>
      <c r="O445" s="5"/>
      <c r="P445" s="3">
        <f t="shared" si="70"/>
        <v>0</v>
      </c>
      <c r="Q445" s="3">
        <f t="shared" si="66"/>
        <v>0</v>
      </c>
      <c r="T445" s="27" t="str">
        <f t="shared" si="71"/>
        <v/>
      </c>
      <c r="U445" s="1" t="str">
        <f t="shared" si="67"/>
        <v/>
      </c>
    </row>
    <row r="446" spans="2:21" hidden="1">
      <c r="B446" s="1">
        <f t="shared" si="68"/>
        <v>442</v>
      </c>
      <c r="C446" s="2"/>
      <c r="D446" s="2" t="str">
        <f t="shared" si="63"/>
        <v/>
      </c>
      <c r="E446" s="1" t="str">
        <f t="shared" si="64"/>
        <v/>
      </c>
      <c r="F446" s="1" t="str">
        <f t="shared" si="65"/>
        <v/>
      </c>
      <c r="H446" s="1" t="str">
        <f>IFERROR((VLOOKUP(G446,Backdata!G:H,2,0)),"")</f>
        <v/>
      </c>
      <c r="M446" s="5"/>
      <c r="N446" s="3">
        <f t="shared" si="69"/>
        <v>0</v>
      </c>
      <c r="O446" s="5"/>
      <c r="P446" s="3">
        <f t="shared" si="70"/>
        <v>0</v>
      </c>
      <c r="Q446" s="3">
        <f t="shared" si="66"/>
        <v>0</v>
      </c>
      <c r="T446" s="27" t="str">
        <f t="shared" si="71"/>
        <v/>
      </c>
      <c r="U446" s="1" t="str">
        <f t="shared" si="67"/>
        <v/>
      </c>
    </row>
    <row r="447" spans="2:21" hidden="1">
      <c r="B447" s="1">
        <f t="shared" si="68"/>
        <v>443</v>
      </c>
      <c r="C447" s="2"/>
      <c r="D447" s="2" t="str">
        <f t="shared" si="63"/>
        <v/>
      </c>
      <c r="E447" s="1" t="str">
        <f t="shared" si="64"/>
        <v/>
      </c>
      <c r="F447" s="1" t="str">
        <f t="shared" si="65"/>
        <v/>
      </c>
      <c r="H447" s="1" t="str">
        <f>IFERROR((VLOOKUP(G447,Backdata!G:H,2,0)),"")</f>
        <v/>
      </c>
      <c r="M447" s="5"/>
      <c r="N447" s="3">
        <f t="shared" si="69"/>
        <v>0</v>
      </c>
      <c r="O447" s="5"/>
      <c r="P447" s="3">
        <f t="shared" si="70"/>
        <v>0</v>
      </c>
      <c r="Q447" s="3">
        <f t="shared" si="66"/>
        <v>0</v>
      </c>
      <c r="T447" s="27" t="str">
        <f t="shared" si="71"/>
        <v/>
      </c>
      <c r="U447" s="1" t="str">
        <f t="shared" si="67"/>
        <v/>
      </c>
    </row>
    <row r="448" spans="2:21" hidden="1">
      <c r="B448" s="1">
        <f t="shared" si="68"/>
        <v>444</v>
      </c>
      <c r="C448" s="2"/>
      <c r="D448" s="2" t="str">
        <f t="shared" si="63"/>
        <v/>
      </c>
      <c r="E448" s="1" t="str">
        <f t="shared" si="64"/>
        <v/>
      </c>
      <c r="F448" s="1" t="str">
        <f t="shared" si="65"/>
        <v/>
      </c>
      <c r="H448" s="1" t="str">
        <f>IFERROR((VLOOKUP(G448,Backdata!G:H,2,0)),"")</f>
        <v/>
      </c>
      <c r="M448" s="5"/>
      <c r="N448" s="3">
        <f t="shared" si="69"/>
        <v>0</v>
      </c>
      <c r="O448" s="5"/>
      <c r="P448" s="3">
        <f t="shared" si="70"/>
        <v>0</v>
      </c>
      <c r="Q448" s="3">
        <f t="shared" si="66"/>
        <v>0</v>
      </c>
      <c r="T448" s="27" t="str">
        <f t="shared" si="71"/>
        <v/>
      </c>
      <c r="U448" s="1" t="str">
        <f t="shared" si="67"/>
        <v/>
      </c>
    </row>
    <row r="449" spans="2:21" hidden="1">
      <c r="B449" s="1">
        <f t="shared" si="68"/>
        <v>445</v>
      </c>
      <c r="C449" s="2"/>
      <c r="D449" s="2" t="str">
        <f t="shared" si="63"/>
        <v/>
      </c>
      <c r="E449" s="1" t="str">
        <f t="shared" si="64"/>
        <v/>
      </c>
      <c r="F449" s="1" t="str">
        <f t="shared" si="65"/>
        <v/>
      </c>
      <c r="H449" s="1" t="str">
        <f>IFERROR((VLOOKUP(G449,Backdata!G:H,2,0)),"")</f>
        <v/>
      </c>
      <c r="M449" s="5"/>
      <c r="N449" s="3">
        <f t="shared" si="69"/>
        <v>0</v>
      </c>
      <c r="O449" s="5"/>
      <c r="P449" s="3">
        <f t="shared" si="70"/>
        <v>0</v>
      </c>
      <c r="Q449" s="3">
        <f t="shared" si="66"/>
        <v>0</v>
      </c>
      <c r="T449" s="27" t="str">
        <f t="shared" si="71"/>
        <v/>
      </c>
      <c r="U449" s="1" t="str">
        <f t="shared" si="67"/>
        <v/>
      </c>
    </row>
    <row r="450" spans="2:21" hidden="1">
      <c r="B450" s="1">
        <f t="shared" si="68"/>
        <v>446</v>
      </c>
      <c r="C450" s="2"/>
      <c r="D450" s="2" t="str">
        <f t="shared" si="63"/>
        <v/>
      </c>
      <c r="E450" s="1" t="str">
        <f t="shared" si="64"/>
        <v/>
      </c>
      <c r="F450" s="1" t="str">
        <f t="shared" si="65"/>
        <v/>
      </c>
      <c r="H450" s="1" t="str">
        <f>IFERROR((VLOOKUP(G450,Backdata!G:H,2,0)),"")</f>
        <v/>
      </c>
      <c r="M450" s="5"/>
      <c r="N450" s="3">
        <f t="shared" si="69"/>
        <v>0</v>
      </c>
      <c r="O450" s="5"/>
      <c r="P450" s="3">
        <f t="shared" si="70"/>
        <v>0</v>
      </c>
      <c r="Q450" s="3">
        <f t="shared" si="66"/>
        <v>0</v>
      </c>
      <c r="T450" s="27" t="str">
        <f t="shared" si="71"/>
        <v/>
      </c>
      <c r="U450" s="1" t="str">
        <f t="shared" si="67"/>
        <v/>
      </c>
    </row>
    <row r="451" spans="2:21" hidden="1">
      <c r="B451" s="1">
        <f t="shared" si="68"/>
        <v>447</v>
      </c>
      <c r="C451" s="2"/>
      <c r="D451" s="2" t="str">
        <f t="shared" si="63"/>
        <v/>
      </c>
      <c r="E451" s="1" t="str">
        <f t="shared" si="64"/>
        <v/>
      </c>
      <c r="F451" s="1" t="str">
        <f t="shared" si="65"/>
        <v/>
      </c>
      <c r="H451" s="1" t="str">
        <f>IFERROR((VLOOKUP(G451,Backdata!G:H,2,0)),"")</f>
        <v/>
      </c>
      <c r="M451" s="5"/>
      <c r="N451" s="3">
        <f t="shared" si="69"/>
        <v>0</v>
      </c>
      <c r="O451" s="5"/>
      <c r="P451" s="3">
        <f t="shared" si="70"/>
        <v>0</v>
      </c>
      <c r="Q451" s="3">
        <f t="shared" si="66"/>
        <v>0</v>
      </c>
      <c r="T451" s="27" t="str">
        <f t="shared" si="71"/>
        <v/>
      </c>
      <c r="U451" s="1" t="str">
        <f t="shared" si="67"/>
        <v/>
      </c>
    </row>
    <row r="452" spans="2:21" hidden="1">
      <c r="B452" s="1">
        <f t="shared" si="68"/>
        <v>448</v>
      </c>
      <c r="C452" s="2"/>
      <c r="D452" s="2" t="str">
        <f t="shared" si="63"/>
        <v/>
      </c>
      <c r="E452" s="1" t="str">
        <f t="shared" si="64"/>
        <v/>
      </c>
      <c r="F452" s="1" t="str">
        <f t="shared" si="65"/>
        <v/>
      </c>
      <c r="H452" s="1" t="str">
        <f>IFERROR((VLOOKUP(G452,Backdata!G:H,2,0)),"")</f>
        <v/>
      </c>
      <c r="M452" s="5"/>
      <c r="N452" s="3">
        <f t="shared" si="69"/>
        <v>0</v>
      </c>
      <c r="O452" s="5"/>
      <c r="P452" s="3">
        <f t="shared" si="70"/>
        <v>0</v>
      </c>
      <c r="Q452" s="3">
        <f t="shared" si="66"/>
        <v>0</v>
      </c>
      <c r="T452" s="27" t="str">
        <f t="shared" si="71"/>
        <v/>
      </c>
      <c r="U452" s="1" t="str">
        <f t="shared" si="67"/>
        <v/>
      </c>
    </row>
    <row r="453" spans="2:21" hidden="1">
      <c r="B453" s="1">
        <f t="shared" si="68"/>
        <v>449</v>
      </c>
      <c r="C453" s="2"/>
      <c r="D453" s="2" t="str">
        <f t="shared" ref="D453:D516" si="72">IF((C453=""),"",(YEAR(C453)&amp;"년"))</f>
        <v/>
      </c>
      <c r="E453" s="1" t="str">
        <f t="shared" ref="E453:E516" si="73">IF((C453=""),"",(MONTH(C453)&amp;"월"))</f>
        <v/>
      </c>
      <c r="F453" s="1" t="str">
        <f t="shared" ref="F453:F516" si="74">CONCATENATE(D453,E453)</f>
        <v/>
      </c>
      <c r="H453" s="1" t="str">
        <f>IFERROR((VLOOKUP(G453,Backdata!G:H,2,0)),"")</f>
        <v/>
      </c>
      <c r="M453" s="5"/>
      <c r="N453" s="3">
        <f t="shared" si="69"/>
        <v>0</v>
      </c>
      <c r="O453" s="5"/>
      <c r="P453" s="3">
        <f t="shared" si="70"/>
        <v>0</v>
      </c>
      <c r="Q453" s="3">
        <f t="shared" ref="Q453:Q516" si="75">N453-P453</f>
        <v>0</v>
      </c>
      <c r="T453" s="27" t="str">
        <f t="shared" si="71"/>
        <v/>
      </c>
      <c r="U453" s="1" t="str">
        <f t="shared" ref="U453:U516" si="76">IF(T453="","","완료")</f>
        <v/>
      </c>
    </row>
    <row r="454" spans="2:21" hidden="1">
      <c r="B454" s="1">
        <f t="shared" ref="B454:B517" si="77">B453+1</f>
        <v>450</v>
      </c>
      <c r="C454" s="2"/>
      <c r="D454" s="2" t="str">
        <f t="shared" si="72"/>
        <v/>
      </c>
      <c r="E454" s="1" t="str">
        <f t="shared" si="73"/>
        <v/>
      </c>
      <c r="F454" s="1" t="str">
        <f t="shared" si="74"/>
        <v/>
      </c>
      <c r="H454" s="1" t="str">
        <f>IFERROR((VLOOKUP(G454,Backdata!G:H,2,0)),"")</f>
        <v/>
      </c>
      <c r="M454" s="5"/>
      <c r="N454" s="3">
        <f t="shared" ref="N454:N517" si="78">M454*L454*1.1</f>
        <v>0</v>
      </c>
      <c r="O454" s="5"/>
      <c r="P454" s="3">
        <f t="shared" ref="P454:P517" si="79">O454*L454*1.1</f>
        <v>0</v>
      </c>
      <c r="Q454" s="3">
        <f t="shared" si="75"/>
        <v>0</v>
      </c>
      <c r="T454" s="27" t="str">
        <f t="shared" si="71"/>
        <v/>
      </c>
      <c r="U454" s="1" t="str">
        <f t="shared" si="76"/>
        <v/>
      </c>
    </row>
    <row r="455" spans="2:21" hidden="1">
      <c r="B455" s="1">
        <f t="shared" si="77"/>
        <v>451</v>
      </c>
      <c r="C455" s="2"/>
      <c r="D455" s="2" t="str">
        <f t="shared" si="72"/>
        <v/>
      </c>
      <c r="E455" s="1" t="str">
        <f t="shared" si="73"/>
        <v/>
      </c>
      <c r="F455" s="1" t="str">
        <f t="shared" si="74"/>
        <v/>
      </c>
      <c r="H455" s="1" t="str">
        <f>IFERROR((VLOOKUP(G455,Backdata!G:H,2,0)),"")</f>
        <v/>
      </c>
      <c r="M455" s="5"/>
      <c r="N455" s="3">
        <f t="shared" si="78"/>
        <v>0</v>
      </c>
      <c r="O455" s="5"/>
      <c r="P455" s="3">
        <f t="shared" si="79"/>
        <v>0</v>
      </c>
      <c r="Q455" s="3">
        <f t="shared" si="75"/>
        <v>0</v>
      </c>
      <c r="T455" s="27" t="str">
        <f t="shared" si="71"/>
        <v/>
      </c>
      <c r="U455" s="1" t="str">
        <f t="shared" si="76"/>
        <v/>
      </c>
    </row>
    <row r="456" spans="2:21" hidden="1">
      <c r="B456" s="1">
        <f t="shared" si="77"/>
        <v>452</v>
      </c>
      <c r="C456" s="2"/>
      <c r="D456" s="2" t="str">
        <f t="shared" si="72"/>
        <v/>
      </c>
      <c r="E456" s="1" t="str">
        <f t="shared" si="73"/>
        <v/>
      </c>
      <c r="F456" s="1" t="str">
        <f t="shared" si="74"/>
        <v/>
      </c>
      <c r="H456" s="1" t="str">
        <f>IFERROR((VLOOKUP(G456,Backdata!G:H,2,0)),"")</f>
        <v/>
      </c>
      <c r="M456" s="5"/>
      <c r="N456" s="3">
        <f t="shared" si="78"/>
        <v>0</v>
      </c>
      <c r="O456" s="5"/>
      <c r="P456" s="3">
        <f t="shared" si="79"/>
        <v>0</v>
      </c>
      <c r="Q456" s="3">
        <f t="shared" si="75"/>
        <v>0</v>
      </c>
      <c r="T456" s="27" t="str">
        <f t="shared" si="71"/>
        <v/>
      </c>
      <c r="U456" s="1" t="str">
        <f t="shared" si="76"/>
        <v/>
      </c>
    </row>
    <row r="457" spans="2:21" hidden="1">
      <c r="B457" s="1">
        <f t="shared" si="77"/>
        <v>453</v>
      </c>
      <c r="C457" s="2"/>
      <c r="D457" s="2" t="str">
        <f t="shared" si="72"/>
        <v/>
      </c>
      <c r="E457" s="1" t="str">
        <f t="shared" si="73"/>
        <v/>
      </c>
      <c r="F457" s="1" t="str">
        <f t="shared" si="74"/>
        <v/>
      </c>
      <c r="H457" s="1" t="str">
        <f>IFERROR((VLOOKUP(G457,Backdata!G:H,2,0)),"")</f>
        <v/>
      </c>
      <c r="M457" s="5"/>
      <c r="N457" s="3">
        <f t="shared" si="78"/>
        <v>0</v>
      </c>
      <c r="O457" s="5"/>
      <c r="P457" s="3">
        <f t="shared" si="79"/>
        <v>0</v>
      </c>
      <c r="Q457" s="3">
        <f t="shared" si="75"/>
        <v>0</v>
      </c>
      <c r="T457" s="27" t="str">
        <f t="shared" si="71"/>
        <v/>
      </c>
      <c r="U457" s="1" t="str">
        <f t="shared" si="76"/>
        <v/>
      </c>
    </row>
    <row r="458" spans="2:21" hidden="1">
      <c r="B458" s="1">
        <f t="shared" si="77"/>
        <v>454</v>
      </c>
      <c r="C458" s="2"/>
      <c r="D458" s="2" t="str">
        <f t="shared" si="72"/>
        <v/>
      </c>
      <c r="E458" s="1" t="str">
        <f t="shared" si="73"/>
        <v/>
      </c>
      <c r="F458" s="1" t="str">
        <f t="shared" si="74"/>
        <v/>
      </c>
      <c r="H458" s="1" t="str">
        <f>IFERROR((VLOOKUP(G458,Backdata!G:H,2,0)),"")</f>
        <v/>
      </c>
      <c r="M458" s="5"/>
      <c r="N458" s="3">
        <f t="shared" si="78"/>
        <v>0</v>
      </c>
      <c r="O458" s="5"/>
      <c r="P458" s="3">
        <f t="shared" si="79"/>
        <v>0</v>
      </c>
      <c r="Q458" s="3">
        <f t="shared" si="75"/>
        <v>0</v>
      </c>
      <c r="T458" s="27" t="str">
        <f t="shared" si="71"/>
        <v/>
      </c>
      <c r="U458" s="1" t="str">
        <f t="shared" si="76"/>
        <v/>
      </c>
    </row>
    <row r="459" spans="2:21" hidden="1">
      <c r="B459" s="1">
        <f t="shared" si="77"/>
        <v>455</v>
      </c>
      <c r="C459" s="2"/>
      <c r="D459" s="2" t="str">
        <f t="shared" si="72"/>
        <v/>
      </c>
      <c r="E459" s="1" t="str">
        <f t="shared" si="73"/>
        <v/>
      </c>
      <c r="F459" s="1" t="str">
        <f t="shared" si="74"/>
        <v/>
      </c>
      <c r="H459" s="1" t="str">
        <f>IFERROR((VLOOKUP(G459,Backdata!G:H,2,0)),"")</f>
        <v/>
      </c>
      <c r="M459" s="5"/>
      <c r="N459" s="3">
        <f t="shared" si="78"/>
        <v>0</v>
      </c>
      <c r="O459" s="5"/>
      <c r="P459" s="3">
        <f t="shared" si="79"/>
        <v>0</v>
      </c>
      <c r="Q459" s="3">
        <f t="shared" si="75"/>
        <v>0</v>
      </c>
      <c r="T459" s="27" t="str">
        <f t="shared" si="71"/>
        <v/>
      </c>
      <c r="U459" s="1" t="str">
        <f t="shared" si="76"/>
        <v/>
      </c>
    </row>
    <row r="460" spans="2:21" hidden="1">
      <c r="B460" s="1">
        <f t="shared" si="77"/>
        <v>456</v>
      </c>
      <c r="C460" s="2"/>
      <c r="D460" s="2" t="str">
        <f t="shared" si="72"/>
        <v/>
      </c>
      <c r="E460" s="1" t="str">
        <f t="shared" si="73"/>
        <v/>
      </c>
      <c r="F460" s="1" t="str">
        <f t="shared" si="74"/>
        <v/>
      </c>
      <c r="H460" s="1" t="str">
        <f>IFERROR((VLOOKUP(G460,Backdata!G:H,2,0)),"")</f>
        <v/>
      </c>
      <c r="M460" s="5"/>
      <c r="N460" s="3">
        <f t="shared" si="78"/>
        <v>0</v>
      </c>
      <c r="O460" s="5"/>
      <c r="P460" s="3">
        <f t="shared" si="79"/>
        <v>0</v>
      </c>
      <c r="Q460" s="3">
        <f t="shared" si="75"/>
        <v>0</v>
      </c>
      <c r="T460" s="27" t="str">
        <f t="shared" si="71"/>
        <v/>
      </c>
      <c r="U460" s="1" t="str">
        <f t="shared" si="76"/>
        <v/>
      </c>
    </row>
    <row r="461" spans="2:21" hidden="1">
      <c r="B461" s="1">
        <f t="shared" si="77"/>
        <v>457</v>
      </c>
      <c r="C461" s="2"/>
      <c r="D461" s="2" t="str">
        <f t="shared" si="72"/>
        <v/>
      </c>
      <c r="E461" s="1" t="str">
        <f t="shared" si="73"/>
        <v/>
      </c>
      <c r="F461" s="1" t="str">
        <f t="shared" si="74"/>
        <v/>
      </c>
      <c r="H461" s="1" t="str">
        <f>IFERROR((VLOOKUP(G461,Backdata!G:H,2,0)),"")</f>
        <v/>
      </c>
      <c r="M461" s="5"/>
      <c r="N461" s="3">
        <f t="shared" si="78"/>
        <v>0</v>
      </c>
      <c r="O461" s="5"/>
      <c r="P461" s="3">
        <f t="shared" si="79"/>
        <v>0</v>
      </c>
      <c r="Q461" s="3">
        <f t="shared" si="75"/>
        <v>0</v>
      </c>
      <c r="T461" s="27" t="str">
        <f t="shared" si="71"/>
        <v/>
      </c>
      <c r="U461" s="1" t="str">
        <f t="shared" si="76"/>
        <v/>
      </c>
    </row>
    <row r="462" spans="2:21" hidden="1">
      <c r="B462" s="1">
        <f t="shared" si="77"/>
        <v>458</v>
      </c>
      <c r="C462" s="2"/>
      <c r="D462" s="2" t="str">
        <f t="shared" si="72"/>
        <v/>
      </c>
      <c r="E462" s="1" t="str">
        <f t="shared" si="73"/>
        <v/>
      </c>
      <c r="F462" s="1" t="str">
        <f t="shared" si="74"/>
        <v/>
      </c>
      <c r="H462" s="1" t="str">
        <f>IFERROR((VLOOKUP(G462,Backdata!G:H,2,0)),"")</f>
        <v/>
      </c>
      <c r="M462" s="5"/>
      <c r="N462" s="3">
        <f t="shared" si="78"/>
        <v>0</v>
      </c>
      <c r="O462" s="5"/>
      <c r="P462" s="3">
        <f t="shared" si="79"/>
        <v>0</v>
      </c>
      <c r="Q462" s="3">
        <f t="shared" si="75"/>
        <v>0</v>
      </c>
      <c r="T462" s="27" t="str">
        <f t="shared" si="71"/>
        <v/>
      </c>
      <c r="U462" s="1" t="str">
        <f t="shared" si="76"/>
        <v/>
      </c>
    </row>
    <row r="463" spans="2:21" hidden="1">
      <c r="B463" s="1">
        <f t="shared" si="77"/>
        <v>459</v>
      </c>
      <c r="C463" s="2"/>
      <c r="D463" s="2" t="str">
        <f t="shared" si="72"/>
        <v/>
      </c>
      <c r="E463" s="1" t="str">
        <f t="shared" si="73"/>
        <v/>
      </c>
      <c r="F463" s="1" t="str">
        <f t="shared" si="74"/>
        <v/>
      </c>
      <c r="H463" s="1" t="str">
        <f>IFERROR((VLOOKUP(G463,Backdata!G:H,2,0)),"")</f>
        <v/>
      </c>
      <c r="M463" s="5"/>
      <c r="N463" s="3">
        <f t="shared" si="78"/>
        <v>0</v>
      </c>
      <c r="O463" s="5"/>
      <c r="P463" s="3">
        <f t="shared" si="79"/>
        <v>0</v>
      </c>
      <c r="Q463" s="3">
        <f t="shared" si="75"/>
        <v>0</v>
      </c>
      <c r="T463" s="27" t="str">
        <f t="shared" si="71"/>
        <v/>
      </c>
      <c r="U463" s="1" t="str">
        <f t="shared" si="76"/>
        <v/>
      </c>
    </row>
    <row r="464" spans="2:21" hidden="1">
      <c r="B464" s="1">
        <f t="shared" si="77"/>
        <v>460</v>
      </c>
      <c r="C464" s="2"/>
      <c r="D464" s="2" t="str">
        <f t="shared" si="72"/>
        <v/>
      </c>
      <c r="E464" s="1" t="str">
        <f t="shared" si="73"/>
        <v/>
      </c>
      <c r="F464" s="1" t="str">
        <f t="shared" si="74"/>
        <v/>
      </c>
      <c r="H464" s="1" t="str">
        <f>IFERROR((VLOOKUP(G464,Backdata!G:H,2,0)),"")</f>
        <v/>
      </c>
      <c r="M464" s="5"/>
      <c r="N464" s="3">
        <f t="shared" si="78"/>
        <v>0</v>
      </c>
      <c r="O464" s="5"/>
      <c r="P464" s="3">
        <f t="shared" si="79"/>
        <v>0</v>
      </c>
      <c r="Q464" s="3">
        <f t="shared" si="75"/>
        <v>0</v>
      </c>
      <c r="T464" s="27" t="str">
        <f t="shared" si="71"/>
        <v/>
      </c>
      <c r="U464" s="1" t="str">
        <f t="shared" si="76"/>
        <v/>
      </c>
    </row>
    <row r="465" spans="2:21" hidden="1">
      <c r="B465" s="1">
        <f t="shared" si="77"/>
        <v>461</v>
      </c>
      <c r="C465" s="2"/>
      <c r="D465" s="2" t="str">
        <f t="shared" si="72"/>
        <v/>
      </c>
      <c r="E465" s="1" t="str">
        <f t="shared" si="73"/>
        <v/>
      </c>
      <c r="F465" s="1" t="str">
        <f t="shared" si="74"/>
        <v/>
      </c>
      <c r="H465" s="1" t="str">
        <f>IFERROR((VLOOKUP(G465,Backdata!G:H,2,0)),"")</f>
        <v/>
      </c>
      <c r="M465" s="5"/>
      <c r="N465" s="3">
        <f t="shared" si="78"/>
        <v>0</v>
      </c>
      <c r="O465" s="5"/>
      <c r="P465" s="3">
        <f t="shared" si="79"/>
        <v>0</v>
      </c>
      <c r="Q465" s="3">
        <f t="shared" si="75"/>
        <v>0</v>
      </c>
      <c r="T465" s="27" t="str">
        <f t="shared" si="71"/>
        <v/>
      </c>
      <c r="U465" s="1" t="str">
        <f t="shared" si="76"/>
        <v/>
      </c>
    </row>
    <row r="466" spans="2:21" hidden="1">
      <c r="B466" s="1">
        <f t="shared" si="77"/>
        <v>462</v>
      </c>
      <c r="C466" s="2"/>
      <c r="D466" s="2" t="str">
        <f t="shared" si="72"/>
        <v/>
      </c>
      <c r="E466" s="1" t="str">
        <f t="shared" si="73"/>
        <v/>
      </c>
      <c r="F466" s="1" t="str">
        <f t="shared" si="74"/>
        <v/>
      </c>
      <c r="H466" s="1" t="str">
        <f>IFERROR((VLOOKUP(G466,Backdata!G:H,2,0)),"")</f>
        <v/>
      </c>
      <c r="M466" s="5"/>
      <c r="N466" s="3">
        <f t="shared" si="78"/>
        <v>0</v>
      </c>
      <c r="O466" s="5"/>
      <c r="P466" s="3">
        <f t="shared" si="79"/>
        <v>0</v>
      </c>
      <c r="Q466" s="3">
        <f t="shared" si="75"/>
        <v>0</v>
      </c>
      <c r="T466" s="27" t="str">
        <f t="shared" si="71"/>
        <v/>
      </c>
      <c r="U466" s="1" t="str">
        <f t="shared" si="76"/>
        <v/>
      </c>
    </row>
    <row r="467" spans="2:21" hidden="1">
      <c r="B467" s="1">
        <f t="shared" si="77"/>
        <v>463</v>
      </c>
      <c r="C467" s="2"/>
      <c r="D467" s="2" t="str">
        <f t="shared" si="72"/>
        <v/>
      </c>
      <c r="E467" s="1" t="str">
        <f t="shared" si="73"/>
        <v/>
      </c>
      <c r="F467" s="1" t="str">
        <f t="shared" si="74"/>
        <v/>
      </c>
      <c r="H467" s="1" t="str">
        <f>IFERROR((VLOOKUP(G467,Backdata!G:H,2,0)),"")</f>
        <v/>
      </c>
      <c r="M467" s="5"/>
      <c r="N467" s="3">
        <f t="shared" si="78"/>
        <v>0</v>
      </c>
      <c r="O467" s="5"/>
      <c r="P467" s="3">
        <f t="shared" si="79"/>
        <v>0</v>
      </c>
      <c r="Q467" s="3">
        <f t="shared" si="75"/>
        <v>0</v>
      </c>
      <c r="T467" s="27" t="str">
        <f t="shared" si="71"/>
        <v/>
      </c>
      <c r="U467" s="1" t="str">
        <f t="shared" si="76"/>
        <v/>
      </c>
    </row>
    <row r="468" spans="2:21" hidden="1">
      <c r="B468" s="1">
        <f t="shared" si="77"/>
        <v>464</v>
      </c>
      <c r="C468" s="2"/>
      <c r="D468" s="2" t="str">
        <f t="shared" si="72"/>
        <v/>
      </c>
      <c r="E468" s="1" t="str">
        <f t="shared" si="73"/>
        <v/>
      </c>
      <c r="F468" s="1" t="str">
        <f t="shared" si="74"/>
        <v/>
      </c>
      <c r="H468" s="1" t="str">
        <f>IFERROR((VLOOKUP(G468,Backdata!G:H,2,0)),"")</f>
        <v/>
      </c>
      <c r="M468" s="5"/>
      <c r="N468" s="3">
        <f t="shared" si="78"/>
        <v>0</v>
      </c>
      <c r="O468" s="5"/>
      <c r="P468" s="3">
        <f t="shared" si="79"/>
        <v>0</v>
      </c>
      <c r="Q468" s="3">
        <f t="shared" si="75"/>
        <v>0</v>
      </c>
      <c r="T468" s="27" t="str">
        <f t="shared" si="71"/>
        <v/>
      </c>
      <c r="U468" s="1" t="str">
        <f t="shared" si="76"/>
        <v/>
      </c>
    </row>
    <row r="469" spans="2:21" hidden="1">
      <c r="B469" s="1">
        <f t="shared" si="77"/>
        <v>465</v>
      </c>
      <c r="C469" s="2"/>
      <c r="D469" s="2" t="str">
        <f t="shared" si="72"/>
        <v/>
      </c>
      <c r="E469" s="1" t="str">
        <f t="shared" si="73"/>
        <v/>
      </c>
      <c r="F469" s="1" t="str">
        <f t="shared" si="74"/>
        <v/>
      </c>
      <c r="H469" s="1" t="str">
        <f>IFERROR((VLOOKUP(G469,Backdata!G:H,2,0)),"")</f>
        <v/>
      </c>
      <c r="M469" s="5"/>
      <c r="N469" s="3">
        <f t="shared" si="78"/>
        <v>0</v>
      </c>
      <c r="O469" s="5"/>
      <c r="P469" s="3">
        <f t="shared" si="79"/>
        <v>0</v>
      </c>
      <c r="Q469" s="3">
        <f t="shared" si="75"/>
        <v>0</v>
      </c>
      <c r="T469" s="27" t="str">
        <f t="shared" si="71"/>
        <v/>
      </c>
      <c r="U469" s="1" t="str">
        <f t="shared" si="76"/>
        <v/>
      </c>
    </row>
    <row r="470" spans="2:21" hidden="1">
      <c r="B470" s="1">
        <f t="shared" si="77"/>
        <v>466</v>
      </c>
      <c r="C470" s="2"/>
      <c r="D470" s="2" t="str">
        <f t="shared" si="72"/>
        <v/>
      </c>
      <c r="E470" s="1" t="str">
        <f t="shared" si="73"/>
        <v/>
      </c>
      <c r="F470" s="1" t="str">
        <f t="shared" si="74"/>
        <v/>
      </c>
      <c r="H470" s="1" t="str">
        <f>IFERROR((VLOOKUP(G470,Backdata!G:H,2,0)),"")</f>
        <v/>
      </c>
      <c r="M470" s="5"/>
      <c r="N470" s="3">
        <f t="shared" si="78"/>
        <v>0</v>
      </c>
      <c r="O470" s="5"/>
      <c r="P470" s="3">
        <f t="shared" si="79"/>
        <v>0</v>
      </c>
      <c r="Q470" s="3">
        <f t="shared" si="75"/>
        <v>0</v>
      </c>
      <c r="T470" s="27" t="str">
        <f t="shared" si="71"/>
        <v/>
      </c>
      <c r="U470" s="1" t="str">
        <f t="shared" si="76"/>
        <v/>
      </c>
    </row>
    <row r="471" spans="2:21" hidden="1">
      <c r="B471" s="1">
        <f t="shared" si="77"/>
        <v>467</v>
      </c>
      <c r="C471" s="2"/>
      <c r="D471" s="2" t="str">
        <f t="shared" si="72"/>
        <v/>
      </c>
      <c r="E471" s="1" t="str">
        <f t="shared" si="73"/>
        <v/>
      </c>
      <c r="F471" s="1" t="str">
        <f t="shared" si="74"/>
        <v/>
      </c>
      <c r="H471" s="1" t="str">
        <f>IFERROR((VLOOKUP(G471,Backdata!G:H,2,0)),"")</f>
        <v/>
      </c>
      <c r="M471" s="5"/>
      <c r="N471" s="3">
        <f t="shared" si="78"/>
        <v>0</v>
      </c>
      <c r="O471" s="5"/>
      <c r="P471" s="3">
        <f t="shared" si="79"/>
        <v>0</v>
      </c>
      <c r="Q471" s="3">
        <f t="shared" si="75"/>
        <v>0</v>
      </c>
      <c r="T471" s="27" t="str">
        <f t="shared" si="71"/>
        <v/>
      </c>
      <c r="U471" s="1" t="str">
        <f t="shared" si="76"/>
        <v/>
      </c>
    </row>
    <row r="472" spans="2:21" hidden="1">
      <c r="B472" s="1">
        <f t="shared" si="77"/>
        <v>468</v>
      </c>
      <c r="C472" s="2"/>
      <c r="D472" s="2" t="str">
        <f t="shared" si="72"/>
        <v/>
      </c>
      <c r="E472" s="1" t="str">
        <f t="shared" si="73"/>
        <v/>
      </c>
      <c r="F472" s="1" t="str">
        <f t="shared" si="74"/>
        <v/>
      </c>
      <c r="H472" s="1" t="str">
        <f>IFERROR((VLOOKUP(G472,Backdata!G:H,2,0)),"")</f>
        <v/>
      </c>
      <c r="M472" s="5"/>
      <c r="N472" s="3">
        <f t="shared" si="78"/>
        <v>0</v>
      </c>
      <c r="O472" s="5"/>
      <c r="P472" s="3">
        <f t="shared" si="79"/>
        <v>0</v>
      </c>
      <c r="Q472" s="3">
        <f t="shared" si="75"/>
        <v>0</v>
      </c>
      <c r="T472" s="27" t="str">
        <f t="shared" si="71"/>
        <v/>
      </c>
      <c r="U472" s="1" t="str">
        <f t="shared" si="76"/>
        <v/>
      </c>
    </row>
    <row r="473" spans="2:21" hidden="1">
      <c r="B473" s="1">
        <f t="shared" si="77"/>
        <v>469</v>
      </c>
      <c r="C473" s="2"/>
      <c r="D473" s="2" t="str">
        <f t="shared" si="72"/>
        <v/>
      </c>
      <c r="E473" s="1" t="str">
        <f t="shared" si="73"/>
        <v/>
      </c>
      <c r="F473" s="1" t="str">
        <f t="shared" si="74"/>
        <v/>
      </c>
      <c r="H473" s="1" t="str">
        <f>IFERROR((VLOOKUP(G473,Backdata!G:H,2,0)),"")</f>
        <v/>
      </c>
      <c r="M473" s="5"/>
      <c r="N473" s="3">
        <f t="shared" si="78"/>
        <v>0</v>
      </c>
      <c r="O473" s="5"/>
      <c r="P473" s="3">
        <f t="shared" si="79"/>
        <v>0</v>
      </c>
      <c r="Q473" s="3">
        <f t="shared" si="75"/>
        <v>0</v>
      </c>
      <c r="T473" s="27" t="str">
        <f t="shared" si="71"/>
        <v/>
      </c>
      <c r="U473" s="1" t="str">
        <f t="shared" si="76"/>
        <v/>
      </c>
    </row>
    <row r="474" spans="2:21" hidden="1">
      <c r="B474" s="1">
        <f t="shared" si="77"/>
        <v>470</v>
      </c>
      <c r="C474" s="2"/>
      <c r="D474" s="2" t="str">
        <f t="shared" si="72"/>
        <v/>
      </c>
      <c r="E474" s="1" t="str">
        <f t="shared" si="73"/>
        <v/>
      </c>
      <c r="F474" s="1" t="str">
        <f t="shared" si="74"/>
        <v/>
      </c>
      <c r="H474" s="1" t="str">
        <f>IFERROR((VLOOKUP(G474,Backdata!G:H,2,0)),"")</f>
        <v/>
      </c>
      <c r="M474" s="5"/>
      <c r="N474" s="3">
        <f t="shared" si="78"/>
        <v>0</v>
      </c>
      <c r="O474" s="5"/>
      <c r="P474" s="3">
        <f t="shared" si="79"/>
        <v>0</v>
      </c>
      <c r="Q474" s="3">
        <f t="shared" si="75"/>
        <v>0</v>
      </c>
      <c r="T474" s="27" t="str">
        <f t="shared" si="71"/>
        <v/>
      </c>
      <c r="U474" s="1" t="str">
        <f t="shared" si="76"/>
        <v/>
      </c>
    </row>
    <row r="475" spans="2:21" hidden="1">
      <c r="B475" s="1">
        <f t="shared" si="77"/>
        <v>471</v>
      </c>
      <c r="C475" s="2"/>
      <c r="D475" s="2" t="str">
        <f t="shared" si="72"/>
        <v/>
      </c>
      <c r="E475" s="1" t="str">
        <f t="shared" si="73"/>
        <v/>
      </c>
      <c r="F475" s="1" t="str">
        <f t="shared" si="74"/>
        <v/>
      </c>
      <c r="H475" s="1" t="str">
        <f>IFERROR((VLOOKUP(G475,Backdata!G:H,2,0)),"")</f>
        <v/>
      </c>
      <c r="M475" s="5"/>
      <c r="N475" s="3">
        <f t="shared" si="78"/>
        <v>0</v>
      </c>
      <c r="O475" s="5"/>
      <c r="P475" s="3">
        <f t="shared" si="79"/>
        <v>0</v>
      </c>
      <c r="Q475" s="3">
        <f t="shared" si="75"/>
        <v>0</v>
      </c>
      <c r="T475" s="27" t="str">
        <f t="shared" si="71"/>
        <v/>
      </c>
      <c r="U475" s="1" t="str">
        <f t="shared" si="76"/>
        <v/>
      </c>
    </row>
    <row r="476" spans="2:21" hidden="1">
      <c r="B476" s="1">
        <f t="shared" si="77"/>
        <v>472</v>
      </c>
      <c r="C476" s="2"/>
      <c r="D476" s="2" t="str">
        <f t="shared" si="72"/>
        <v/>
      </c>
      <c r="E476" s="1" t="str">
        <f t="shared" si="73"/>
        <v/>
      </c>
      <c r="F476" s="1" t="str">
        <f t="shared" si="74"/>
        <v/>
      </c>
      <c r="H476" s="1" t="str">
        <f>IFERROR((VLOOKUP(G476,Backdata!G:H,2,0)),"")</f>
        <v/>
      </c>
      <c r="M476" s="5"/>
      <c r="N476" s="3">
        <f t="shared" si="78"/>
        <v>0</v>
      </c>
      <c r="O476" s="5"/>
      <c r="P476" s="3">
        <f t="shared" si="79"/>
        <v>0</v>
      </c>
      <c r="Q476" s="3">
        <f t="shared" si="75"/>
        <v>0</v>
      </c>
      <c r="T476" s="27" t="str">
        <f t="shared" si="71"/>
        <v/>
      </c>
      <c r="U476" s="1" t="str">
        <f t="shared" si="76"/>
        <v/>
      </c>
    </row>
    <row r="477" spans="2:21" hidden="1">
      <c r="B477" s="1">
        <f t="shared" si="77"/>
        <v>473</v>
      </c>
      <c r="C477" s="2"/>
      <c r="D477" s="2" t="str">
        <f t="shared" si="72"/>
        <v/>
      </c>
      <c r="E477" s="1" t="str">
        <f t="shared" si="73"/>
        <v/>
      </c>
      <c r="F477" s="1" t="str">
        <f t="shared" si="74"/>
        <v/>
      </c>
      <c r="H477" s="1" t="str">
        <f>IFERROR((VLOOKUP(G477,Backdata!G:H,2,0)),"")</f>
        <v/>
      </c>
      <c r="M477" s="5"/>
      <c r="N477" s="3">
        <f t="shared" si="78"/>
        <v>0</v>
      </c>
      <c r="O477" s="5"/>
      <c r="P477" s="3">
        <f t="shared" si="79"/>
        <v>0</v>
      </c>
      <c r="Q477" s="3">
        <f t="shared" si="75"/>
        <v>0</v>
      </c>
      <c r="T477" s="27" t="str">
        <f t="shared" si="71"/>
        <v/>
      </c>
      <c r="U477" s="1" t="str">
        <f t="shared" si="76"/>
        <v/>
      </c>
    </row>
    <row r="478" spans="2:21" hidden="1">
      <c r="B478" s="1">
        <f t="shared" si="77"/>
        <v>474</v>
      </c>
      <c r="C478" s="2"/>
      <c r="D478" s="2" t="str">
        <f t="shared" si="72"/>
        <v/>
      </c>
      <c r="E478" s="1" t="str">
        <f t="shared" si="73"/>
        <v/>
      </c>
      <c r="F478" s="1" t="str">
        <f t="shared" si="74"/>
        <v/>
      </c>
      <c r="H478" s="1" t="str">
        <f>IFERROR((VLOOKUP(G478,Backdata!G:H,2,0)),"")</f>
        <v/>
      </c>
      <c r="M478" s="5"/>
      <c r="N478" s="3">
        <f t="shared" si="78"/>
        <v>0</v>
      </c>
      <c r="O478" s="5"/>
      <c r="P478" s="3">
        <f t="shared" si="79"/>
        <v>0</v>
      </c>
      <c r="Q478" s="3">
        <f t="shared" si="75"/>
        <v>0</v>
      </c>
      <c r="T478" s="27" t="str">
        <f t="shared" si="71"/>
        <v/>
      </c>
      <c r="U478" s="1" t="str">
        <f t="shared" si="76"/>
        <v/>
      </c>
    </row>
    <row r="479" spans="2:21" hidden="1">
      <c r="B479" s="1">
        <f t="shared" si="77"/>
        <v>475</v>
      </c>
      <c r="C479" s="2"/>
      <c r="D479" s="2" t="str">
        <f t="shared" si="72"/>
        <v/>
      </c>
      <c r="E479" s="1" t="str">
        <f t="shared" si="73"/>
        <v/>
      </c>
      <c r="F479" s="1" t="str">
        <f t="shared" si="74"/>
        <v/>
      </c>
      <c r="H479" s="1" t="str">
        <f>IFERROR((VLOOKUP(G479,Backdata!G:H,2,0)),"")</f>
        <v/>
      </c>
      <c r="M479" s="5"/>
      <c r="N479" s="3">
        <f t="shared" si="78"/>
        <v>0</v>
      </c>
      <c r="O479" s="5"/>
      <c r="P479" s="3">
        <f t="shared" si="79"/>
        <v>0</v>
      </c>
      <c r="Q479" s="3">
        <f t="shared" si="75"/>
        <v>0</v>
      </c>
      <c r="T479" s="27" t="str">
        <f t="shared" si="71"/>
        <v/>
      </c>
      <c r="U479" s="1" t="str">
        <f t="shared" si="76"/>
        <v/>
      </c>
    </row>
    <row r="480" spans="2:21" hidden="1">
      <c r="B480" s="1">
        <f t="shared" si="77"/>
        <v>476</v>
      </c>
      <c r="C480" s="2"/>
      <c r="D480" s="2" t="str">
        <f t="shared" si="72"/>
        <v/>
      </c>
      <c r="E480" s="1" t="str">
        <f t="shared" si="73"/>
        <v/>
      </c>
      <c r="F480" s="1" t="str">
        <f t="shared" si="74"/>
        <v/>
      </c>
      <c r="H480" s="1" t="str">
        <f>IFERROR((VLOOKUP(G480,Backdata!G:H,2,0)),"")</f>
        <v/>
      </c>
      <c r="M480" s="5"/>
      <c r="N480" s="3">
        <f t="shared" si="78"/>
        <v>0</v>
      </c>
      <c r="O480" s="5"/>
      <c r="P480" s="3">
        <f t="shared" si="79"/>
        <v>0</v>
      </c>
      <c r="Q480" s="3">
        <f t="shared" si="75"/>
        <v>0</v>
      </c>
      <c r="T480" s="27" t="str">
        <f t="shared" si="71"/>
        <v/>
      </c>
      <c r="U480" s="1" t="str">
        <f t="shared" si="76"/>
        <v/>
      </c>
    </row>
    <row r="481" spans="2:21" hidden="1">
      <c r="B481" s="1">
        <f t="shared" si="77"/>
        <v>477</v>
      </c>
      <c r="C481" s="2"/>
      <c r="D481" s="2" t="str">
        <f t="shared" si="72"/>
        <v/>
      </c>
      <c r="E481" s="1" t="str">
        <f t="shared" si="73"/>
        <v/>
      </c>
      <c r="F481" s="1" t="str">
        <f t="shared" si="74"/>
        <v/>
      </c>
      <c r="H481" s="1" t="str">
        <f>IFERROR((VLOOKUP(G481,Backdata!G:H,2,0)),"")</f>
        <v/>
      </c>
      <c r="M481" s="5"/>
      <c r="N481" s="3">
        <f t="shared" si="78"/>
        <v>0</v>
      </c>
      <c r="O481" s="5"/>
      <c r="P481" s="3">
        <f t="shared" si="79"/>
        <v>0</v>
      </c>
      <c r="Q481" s="3">
        <f t="shared" si="75"/>
        <v>0</v>
      </c>
      <c r="T481" s="27" t="str">
        <f t="shared" si="71"/>
        <v/>
      </c>
      <c r="U481" s="1" t="str">
        <f t="shared" si="76"/>
        <v/>
      </c>
    </row>
    <row r="482" spans="2:21" hidden="1">
      <c r="B482" s="1">
        <f t="shared" si="77"/>
        <v>478</v>
      </c>
      <c r="C482" s="2"/>
      <c r="D482" s="2" t="str">
        <f t="shared" si="72"/>
        <v/>
      </c>
      <c r="E482" s="1" t="str">
        <f t="shared" si="73"/>
        <v/>
      </c>
      <c r="F482" s="1" t="str">
        <f t="shared" si="74"/>
        <v/>
      </c>
      <c r="H482" s="1" t="str">
        <f>IFERROR((VLOOKUP(G482,Backdata!G:H,2,0)),"")</f>
        <v/>
      </c>
      <c r="M482" s="5"/>
      <c r="N482" s="3">
        <f t="shared" si="78"/>
        <v>0</v>
      </c>
      <c r="O482" s="5"/>
      <c r="P482" s="3">
        <f t="shared" si="79"/>
        <v>0</v>
      </c>
      <c r="Q482" s="3">
        <f t="shared" si="75"/>
        <v>0</v>
      </c>
      <c r="T482" s="27" t="str">
        <f t="shared" si="71"/>
        <v/>
      </c>
      <c r="U482" s="1" t="str">
        <f t="shared" si="76"/>
        <v/>
      </c>
    </row>
    <row r="483" spans="2:21" hidden="1">
      <c r="B483" s="1">
        <f t="shared" si="77"/>
        <v>479</v>
      </c>
      <c r="C483" s="2"/>
      <c r="D483" s="2" t="str">
        <f t="shared" si="72"/>
        <v/>
      </c>
      <c r="E483" s="1" t="str">
        <f t="shared" si="73"/>
        <v/>
      </c>
      <c r="F483" s="1" t="str">
        <f t="shared" si="74"/>
        <v/>
      </c>
      <c r="H483" s="1" t="str">
        <f>IFERROR((VLOOKUP(G483,Backdata!G:H,2,0)),"")</f>
        <v/>
      </c>
      <c r="M483" s="5"/>
      <c r="N483" s="3">
        <f t="shared" si="78"/>
        <v>0</v>
      </c>
      <c r="O483" s="5"/>
      <c r="P483" s="3">
        <f t="shared" si="79"/>
        <v>0</v>
      </c>
      <c r="Q483" s="3">
        <f t="shared" si="75"/>
        <v>0</v>
      </c>
      <c r="T483" s="27" t="str">
        <f t="shared" si="71"/>
        <v/>
      </c>
      <c r="U483" s="1" t="str">
        <f t="shared" si="76"/>
        <v/>
      </c>
    </row>
    <row r="484" spans="2:21" hidden="1">
      <c r="B484" s="1">
        <f t="shared" si="77"/>
        <v>480</v>
      </c>
      <c r="C484" s="2"/>
      <c r="D484" s="2" t="str">
        <f t="shared" si="72"/>
        <v/>
      </c>
      <c r="E484" s="1" t="str">
        <f t="shared" si="73"/>
        <v/>
      </c>
      <c r="F484" s="1" t="str">
        <f t="shared" si="74"/>
        <v/>
      </c>
      <c r="H484" s="1" t="str">
        <f>IFERROR((VLOOKUP(G484,Backdata!G:H,2,0)),"")</f>
        <v/>
      </c>
      <c r="M484" s="5"/>
      <c r="N484" s="3">
        <f t="shared" si="78"/>
        <v>0</v>
      </c>
      <c r="O484" s="5"/>
      <c r="P484" s="3">
        <f t="shared" si="79"/>
        <v>0</v>
      </c>
      <c r="Q484" s="3">
        <f t="shared" si="75"/>
        <v>0</v>
      </c>
      <c r="T484" s="27" t="str">
        <f t="shared" si="71"/>
        <v/>
      </c>
      <c r="U484" s="1" t="str">
        <f t="shared" si="76"/>
        <v/>
      </c>
    </row>
    <row r="485" spans="2:21" hidden="1">
      <c r="B485" s="1">
        <f t="shared" si="77"/>
        <v>481</v>
      </c>
      <c r="C485" s="2"/>
      <c r="D485" s="2" t="str">
        <f t="shared" si="72"/>
        <v/>
      </c>
      <c r="E485" s="1" t="str">
        <f t="shared" si="73"/>
        <v/>
      </c>
      <c r="F485" s="1" t="str">
        <f t="shared" si="74"/>
        <v/>
      </c>
      <c r="H485" s="1" t="str">
        <f>IFERROR((VLOOKUP(G485,Backdata!G:H,2,0)),"")</f>
        <v/>
      </c>
      <c r="M485" s="5"/>
      <c r="N485" s="3">
        <f t="shared" si="78"/>
        <v>0</v>
      </c>
      <c r="O485" s="5"/>
      <c r="P485" s="3">
        <f t="shared" si="79"/>
        <v>0</v>
      </c>
      <c r="Q485" s="3">
        <f t="shared" si="75"/>
        <v>0</v>
      </c>
      <c r="T485" s="27" t="str">
        <f t="shared" si="71"/>
        <v/>
      </c>
      <c r="U485" s="1" t="str">
        <f t="shared" si="76"/>
        <v/>
      </c>
    </row>
    <row r="486" spans="2:21" hidden="1">
      <c r="B486" s="1">
        <f t="shared" si="77"/>
        <v>482</v>
      </c>
      <c r="C486" s="2"/>
      <c r="D486" s="2" t="str">
        <f t="shared" si="72"/>
        <v/>
      </c>
      <c r="E486" s="1" t="str">
        <f t="shared" si="73"/>
        <v/>
      </c>
      <c r="F486" s="1" t="str">
        <f t="shared" si="74"/>
        <v/>
      </c>
      <c r="H486" s="1" t="str">
        <f>IFERROR((VLOOKUP(G486,Backdata!G:H,2,0)),"")</f>
        <v/>
      </c>
      <c r="M486" s="5"/>
      <c r="N486" s="3">
        <f t="shared" si="78"/>
        <v>0</v>
      </c>
      <c r="O486" s="5"/>
      <c r="P486" s="3">
        <f t="shared" si="79"/>
        <v>0</v>
      </c>
      <c r="Q486" s="3">
        <f t="shared" si="75"/>
        <v>0</v>
      </c>
      <c r="T486" s="27" t="str">
        <f t="shared" si="71"/>
        <v/>
      </c>
      <c r="U486" s="1" t="str">
        <f t="shared" si="76"/>
        <v/>
      </c>
    </row>
    <row r="487" spans="2:21" hidden="1">
      <c r="B487" s="1">
        <f t="shared" si="77"/>
        <v>483</v>
      </c>
      <c r="C487" s="2"/>
      <c r="D487" s="2" t="str">
        <f t="shared" si="72"/>
        <v/>
      </c>
      <c r="E487" s="1" t="str">
        <f t="shared" si="73"/>
        <v/>
      </c>
      <c r="F487" s="1" t="str">
        <f t="shared" si="74"/>
        <v/>
      </c>
      <c r="H487" s="1" t="str">
        <f>IFERROR((VLOOKUP(G487,Backdata!G:H,2,0)),"")</f>
        <v/>
      </c>
      <c r="M487" s="5"/>
      <c r="N487" s="3">
        <f t="shared" si="78"/>
        <v>0</v>
      </c>
      <c r="O487" s="5"/>
      <c r="P487" s="3">
        <f t="shared" si="79"/>
        <v>0</v>
      </c>
      <c r="Q487" s="3">
        <f t="shared" si="75"/>
        <v>0</v>
      </c>
      <c r="T487" s="27" t="str">
        <f t="shared" si="71"/>
        <v/>
      </c>
      <c r="U487" s="1" t="str">
        <f t="shared" si="76"/>
        <v/>
      </c>
    </row>
    <row r="488" spans="2:21" hidden="1">
      <c r="B488" s="1">
        <f t="shared" si="77"/>
        <v>484</v>
      </c>
      <c r="C488" s="2"/>
      <c r="D488" s="2" t="str">
        <f t="shared" si="72"/>
        <v/>
      </c>
      <c r="E488" s="1" t="str">
        <f t="shared" si="73"/>
        <v/>
      </c>
      <c r="F488" s="1" t="str">
        <f t="shared" si="74"/>
        <v/>
      </c>
      <c r="H488" s="1" t="str">
        <f>IFERROR((VLOOKUP(G488,Backdata!G:H,2,0)),"")</f>
        <v/>
      </c>
      <c r="M488" s="5"/>
      <c r="N488" s="3">
        <f t="shared" si="78"/>
        <v>0</v>
      </c>
      <c r="O488" s="5"/>
      <c r="P488" s="3">
        <f t="shared" si="79"/>
        <v>0</v>
      </c>
      <c r="Q488" s="3">
        <f t="shared" si="75"/>
        <v>0</v>
      </c>
      <c r="T488" s="27" t="str">
        <f t="shared" si="71"/>
        <v/>
      </c>
      <c r="U488" s="1" t="str">
        <f t="shared" si="76"/>
        <v/>
      </c>
    </row>
    <row r="489" spans="2:21" hidden="1">
      <c r="B489" s="1">
        <f t="shared" si="77"/>
        <v>485</v>
      </c>
      <c r="C489" s="2"/>
      <c r="D489" s="2" t="str">
        <f t="shared" si="72"/>
        <v/>
      </c>
      <c r="E489" s="1" t="str">
        <f t="shared" si="73"/>
        <v/>
      </c>
      <c r="F489" s="1" t="str">
        <f t="shared" si="74"/>
        <v/>
      </c>
      <c r="H489" s="1" t="str">
        <f>IFERROR((VLOOKUP(G489,Backdata!G:H,2,0)),"")</f>
        <v/>
      </c>
      <c r="M489" s="5"/>
      <c r="N489" s="3">
        <f t="shared" si="78"/>
        <v>0</v>
      </c>
      <c r="O489" s="5"/>
      <c r="P489" s="3">
        <f t="shared" si="79"/>
        <v>0</v>
      </c>
      <c r="Q489" s="3">
        <f t="shared" si="75"/>
        <v>0</v>
      </c>
      <c r="T489" s="27" t="str">
        <f t="shared" si="71"/>
        <v/>
      </c>
      <c r="U489" s="1" t="str">
        <f t="shared" si="76"/>
        <v/>
      </c>
    </row>
    <row r="490" spans="2:21" hidden="1">
      <c r="B490" s="1">
        <f t="shared" si="77"/>
        <v>486</v>
      </c>
      <c r="C490" s="2"/>
      <c r="D490" s="2" t="str">
        <f t="shared" si="72"/>
        <v/>
      </c>
      <c r="E490" s="1" t="str">
        <f t="shared" si="73"/>
        <v/>
      </c>
      <c r="F490" s="1" t="str">
        <f t="shared" si="74"/>
        <v/>
      </c>
      <c r="H490" s="1" t="str">
        <f>IFERROR((VLOOKUP(G490,Backdata!G:H,2,0)),"")</f>
        <v/>
      </c>
      <c r="M490" s="5"/>
      <c r="N490" s="3">
        <f t="shared" si="78"/>
        <v>0</v>
      </c>
      <c r="O490" s="5"/>
      <c r="P490" s="3">
        <f t="shared" si="79"/>
        <v>0</v>
      </c>
      <c r="Q490" s="3">
        <f t="shared" si="75"/>
        <v>0</v>
      </c>
      <c r="T490" s="27" t="str">
        <f t="shared" si="71"/>
        <v/>
      </c>
      <c r="U490" s="1" t="str">
        <f t="shared" si="76"/>
        <v/>
      </c>
    </row>
    <row r="491" spans="2:21" hidden="1">
      <c r="B491" s="1">
        <f t="shared" si="77"/>
        <v>487</v>
      </c>
      <c r="C491" s="2"/>
      <c r="D491" s="2" t="str">
        <f t="shared" si="72"/>
        <v/>
      </c>
      <c r="E491" s="1" t="str">
        <f t="shared" si="73"/>
        <v/>
      </c>
      <c r="F491" s="1" t="str">
        <f t="shared" si="74"/>
        <v/>
      </c>
      <c r="H491" s="1" t="str">
        <f>IFERROR((VLOOKUP(G491,Backdata!G:H,2,0)),"")</f>
        <v/>
      </c>
      <c r="M491" s="5"/>
      <c r="N491" s="3">
        <f t="shared" si="78"/>
        <v>0</v>
      </c>
      <c r="O491" s="5"/>
      <c r="P491" s="3">
        <f t="shared" si="79"/>
        <v>0</v>
      </c>
      <c r="Q491" s="3">
        <f t="shared" si="75"/>
        <v>0</v>
      </c>
      <c r="T491" s="27" t="str">
        <f t="shared" si="71"/>
        <v/>
      </c>
      <c r="U491" s="1" t="str">
        <f t="shared" si="76"/>
        <v/>
      </c>
    </row>
    <row r="492" spans="2:21" hidden="1">
      <c r="B492" s="1">
        <f t="shared" si="77"/>
        <v>488</v>
      </c>
      <c r="C492" s="2"/>
      <c r="D492" s="2" t="str">
        <f t="shared" si="72"/>
        <v/>
      </c>
      <c r="E492" s="1" t="str">
        <f t="shared" si="73"/>
        <v/>
      </c>
      <c r="F492" s="1" t="str">
        <f t="shared" si="74"/>
        <v/>
      </c>
      <c r="H492" s="1" t="str">
        <f>IFERROR((VLOOKUP(G492,Backdata!G:H,2,0)),"")</f>
        <v/>
      </c>
      <c r="M492" s="5"/>
      <c r="N492" s="3">
        <f t="shared" si="78"/>
        <v>0</v>
      </c>
      <c r="O492" s="5"/>
      <c r="P492" s="3">
        <f t="shared" si="79"/>
        <v>0</v>
      </c>
      <c r="Q492" s="3">
        <f t="shared" si="75"/>
        <v>0</v>
      </c>
      <c r="T492" s="27" t="str">
        <f t="shared" si="71"/>
        <v/>
      </c>
      <c r="U492" s="1" t="str">
        <f t="shared" si="76"/>
        <v/>
      </c>
    </row>
    <row r="493" spans="2:21" hidden="1">
      <c r="B493" s="1">
        <f t="shared" si="77"/>
        <v>489</v>
      </c>
      <c r="C493" s="2"/>
      <c r="D493" s="2" t="str">
        <f t="shared" si="72"/>
        <v/>
      </c>
      <c r="E493" s="1" t="str">
        <f t="shared" si="73"/>
        <v/>
      </c>
      <c r="F493" s="1" t="str">
        <f t="shared" si="74"/>
        <v/>
      </c>
      <c r="H493" s="1" t="str">
        <f>IFERROR((VLOOKUP(G493,Backdata!G:H,2,0)),"")</f>
        <v/>
      </c>
      <c r="M493" s="5"/>
      <c r="N493" s="3">
        <f t="shared" si="78"/>
        <v>0</v>
      </c>
      <c r="O493" s="5"/>
      <c r="P493" s="3">
        <f t="shared" si="79"/>
        <v>0</v>
      </c>
      <c r="Q493" s="3">
        <f t="shared" si="75"/>
        <v>0</v>
      </c>
      <c r="T493" s="27" t="str">
        <f t="shared" si="71"/>
        <v/>
      </c>
      <c r="U493" s="1" t="str">
        <f t="shared" si="76"/>
        <v/>
      </c>
    </row>
    <row r="494" spans="2:21" hidden="1">
      <c r="B494" s="1">
        <f t="shared" si="77"/>
        <v>490</v>
      </c>
      <c r="C494" s="2"/>
      <c r="D494" s="2" t="str">
        <f t="shared" si="72"/>
        <v/>
      </c>
      <c r="E494" s="1" t="str">
        <f t="shared" si="73"/>
        <v/>
      </c>
      <c r="F494" s="1" t="str">
        <f t="shared" si="74"/>
        <v/>
      </c>
      <c r="H494" s="1" t="str">
        <f>IFERROR((VLOOKUP(G494,Backdata!G:H,2,0)),"")</f>
        <v/>
      </c>
      <c r="M494" s="5"/>
      <c r="N494" s="3">
        <f t="shared" si="78"/>
        <v>0</v>
      </c>
      <c r="O494" s="5"/>
      <c r="P494" s="3">
        <f t="shared" si="79"/>
        <v>0</v>
      </c>
      <c r="Q494" s="3">
        <f t="shared" si="75"/>
        <v>0</v>
      </c>
      <c r="T494" s="27" t="str">
        <f t="shared" si="71"/>
        <v/>
      </c>
      <c r="U494" s="1" t="str">
        <f t="shared" si="76"/>
        <v/>
      </c>
    </row>
    <row r="495" spans="2:21" hidden="1">
      <c r="B495" s="1">
        <f t="shared" si="77"/>
        <v>491</v>
      </c>
      <c r="C495" s="2"/>
      <c r="D495" s="2" t="str">
        <f t="shared" si="72"/>
        <v/>
      </c>
      <c r="E495" s="1" t="str">
        <f t="shared" si="73"/>
        <v/>
      </c>
      <c r="F495" s="1" t="str">
        <f t="shared" si="74"/>
        <v/>
      </c>
      <c r="H495" s="1" t="str">
        <f>IFERROR((VLOOKUP(G495,Backdata!G:H,2,0)),"")</f>
        <v/>
      </c>
      <c r="M495" s="5"/>
      <c r="N495" s="3">
        <f t="shared" si="78"/>
        <v>0</v>
      </c>
      <c r="O495" s="5"/>
      <c r="P495" s="3">
        <f t="shared" si="79"/>
        <v>0</v>
      </c>
      <c r="Q495" s="3">
        <f t="shared" si="75"/>
        <v>0</v>
      </c>
      <c r="T495" s="27" t="str">
        <f t="shared" si="71"/>
        <v/>
      </c>
      <c r="U495" s="1" t="str">
        <f t="shared" si="76"/>
        <v/>
      </c>
    </row>
    <row r="496" spans="2:21" hidden="1">
      <c r="B496" s="1">
        <f t="shared" si="77"/>
        <v>492</v>
      </c>
      <c r="C496" s="2"/>
      <c r="D496" s="2" t="str">
        <f t="shared" si="72"/>
        <v/>
      </c>
      <c r="E496" s="1" t="str">
        <f t="shared" si="73"/>
        <v/>
      </c>
      <c r="F496" s="1" t="str">
        <f t="shared" si="74"/>
        <v/>
      </c>
      <c r="H496" s="1" t="str">
        <f>IFERROR((VLOOKUP(G496,Backdata!G:H,2,0)),"")</f>
        <v/>
      </c>
      <c r="M496" s="5"/>
      <c r="N496" s="3">
        <f t="shared" si="78"/>
        <v>0</v>
      </c>
      <c r="O496" s="5"/>
      <c r="P496" s="3">
        <f t="shared" si="79"/>
        <v>0</v>
      </c>
      <c r="Q496" s="3">
        <f t="shared" si="75"/>
        <v>0</v>
      </c>
      <c r="T496" s="27" t="str">
        <f t="shared" si="71"/>
        <v/>
      </c>
      <c r="U496" s="1" t="str">
        <f t="shared" si="76"/>
        <v/>
      </c>
    </row>
    <row r="497" spans="2:21" hidden="1">
      <c r="B497" s="1">
        <f t="shared" si="77"/>
        <v>493</v>
      </c>
      <c r="C497" s="2"/>
      <c r="D497" s="2" t="str">
        <f t="shared" si="72"/>
        <v/>
      </c>
      <c r="E497" s="1" t="str">
        <f t="shared" si="73"/>
        <v/>
      </c>
      <c r="F497" s="1" t="str">
        <f t="shared" si="74"/>
        <v/>
      </c>
      <c r="H497" s="1" t="str">
        <f>IFERROR((VLOOKUP(G497,Backdata!G:H,2,0)),"")</f>
        <v/>
      </c>
      <c r="M497" s="5"/>
      <c r="N497" s="3">
        <f t="shared" si="78"/>
        <v>0</v>
      </c>
      <c r="O497" s="5"/>
      <c r="P497" s="3">
        <f t="shared" si="79"/>
        <v>0</v>
      </c>
      <c r="Q497" s="3">
        <f t="shared" si="75"/>
        <v>0</v>
      </c>
      <c r="T497" s="27" t="str">
        <f t="shared" si="71"/>
        <v/>
      </c>
      <c r="U497" s="1" t="str">
        <f t="shared" si="76"/>
        <v/>
      </c>
    </row>
    <row r="498" spans="2:21" hidden="1">
      <c r="B498" s="1">
        <f t="shared" si="77"/>
        <v>494</v>
      </c>
      <c r="C498" s="2"/>
      <c r="D498" s="2" t="str">
        <f t="shared" si="72"/>
        <v/>
      </c>
      <c r="E498" s="1" t="str">
        <f t="shared" si="73"/>
        <v/>
      </c>
      <c r="F498" s="1" t="str">
        <f t="shared" si="74"/>
        <v/>
      </c>
      <c r="H498" s="1" t="str">
        <f>IFERROR((VLOOKUP(G498,Backdata!G:H,2,0)),"")</f>
        <v/>
      </c>
      <c r="M498" s="5"/>
      <c r="N498" s="3">
        <f t="shared" si="78"/>
        <v>0</v>
      </c>
      <c r="O498" s="5"/>
      <c r="P498" s="3">
        <f t="shared" si="79"/>
        <v>0</v>
      </c>
      <c r="Q498" s="3">
        <f t="shared" si="75"/>
        <v>0</v>
      </c>
      <c r="T498" s="27" t="str">
        <f t="shared" si="71"/>
        <v/>
      </c>
      <c r="U498" s="1" t="str">
        <f t="shared" si="76"/>
        <v/>
      </c>
    </row>
    <row r="499" spans="2:21" hidden="1">
      <c r="B499" s="1">
        <f t="shared" si="77"/>
        <v>495</v>
      </c>
      <c r="C499" s="2"/>
      <c r="D499" s="2" t="str">
        <f t="shared" si="72"/>
        <v/>
      </c>
      <c r="E499" s="1" t="str">
        <f t="shared" si="73"/>
        <v/>
      </c>
      <c r="F499" s="1" t="str">
        <f t="shared" si="74"/>
        <v/>
      </c>
      <c r="H499" s="1" t="str">
        <f>IFERROR((VLOOKUP(G499,Backdata!G:H,2,0)),"")</f>
        <v/>
      </c>
      <c r="M499" s="5"/>
      <c r="N499" s="3">
        <f t="shared" si="78"/>
        <v>0</v>
      </c>
      <c r="O499" s="5"/>
      <c r="P499" s="3">
        <f t="shared" si="79"/>
        <v>0</v>
      </c>
      <c r="Q499" s="3">
        <f t="shared" si="75"/>
        <v>0</v>
      </c>
      <c r="T499" s="27" t="str">
        <f t="shared" si="71"/>
        <v/>
      </c>
      <c r="U499" s="1" t="str">
        <f t="shared" si="76"/>
        <v/>
      </c>
    </row>
    <row r="500" spans="2:21" hidden="1">
      <c r="B500" s="1">
        <f t="shared" si="77"/>
        <v>496</v>
      </c>
      <c r="C500" s="2"/>
      <c r="D500" s="2" t="str">
        <f t="shared" si="72"/>
        <v/>
      </c>
      <c r="E500" s="1" t="str">
        <f t="shared" si="73"/>
        <v/>
      </c>
      <c r="F500" s="1" t="str">
        <f t="shared" si="74"/>
        <v/>
      </c>
      <c r="H500" s="1" t="str">
        <f>IFERROR((VLOOKUP(G500,Backdata!G:H,2,0)),"")</f>
        <v/>
      </c>
      <c r="M500" s="5"/>
      <c r="N500" s="3">
        <f t="shared" si="78"/>
        <v>0</v>
      </c>
      <c r="O500" s="5"/>
      <c r="P500" s="3">
        <f t="shared" si="79"/>
        <v>0</v>
      </c>
      <c r="Q500" s="3">
        <f t="shared" si="75"/>
        <v>0</v>
      </c>
      <c r="T500" s="27" t="str">
        <f t="shared" si="71"/>
        <v/>
      </c>
      <c r="U500" s="1" t="str">
        <f t="shared" si="76"/>
        <v/>
      </c>
    </row>
    <row r="501" spans="2:21" hidden="1">
      <c r="B501" s="1">
        <f t="shared" si="77"/>
        <v>497</v>
      </c>
      <c r="C501" s="2"/>
      <c r="D501" s="2" t="str">
        <f t="shared" si="72"/>
        <v/>
      </c>
      <c r="E501" s="1" t="str">
        <f t="shared" si="73"/>
        <v/>
      </c>
      <c r="F501" s="1" t="str">
        <f t="shared" si="74"/>
        <v/>
      </c>
      <c r="H501" s="1" t="str">
        <f>IFERROR((VLOOKUP(G501,Backdata!G:H,2,0)),"")</f>
        <v/>
      </c>
      <c r="M501" s="5"/>
      <c r="N501" s="3">
        <f t="shared" si="78"/>
        <v>0</v>
      </c>
      <c r="O501" s="5"/>
      <c r="P501" s="3">
        <f t="shared" si="79"/>
        <v>0</v>
      </c>
      <c r="Q501" s="3">
        <f t="shared" si="75"/>
        <v>0</v>
      </c>
      <c r="T501" s="27" t="str">
        <f t="shared" si="71"/>
        <v/>
      </c>
      <c r="U501" s="1" t="str">
        <f t="shared" si="76"/>
        <v/>
      </c>
    </row>
    <row r="502" spans="2:21" hidden="1">
      <c r="B502" s="1">
        <f t="shared" si="77"/>
        <v>498</v>
      </c>
      <c r="C502" s="2"/>
      <c r="D502" s="2" t="str">
        <f t="shared" si="72"/>
        <v/>
      </c>
      <c r="E502" s="1" t="str">
        <f t="shared" si="73"/>
        <v/>
      </c>
      <c r="F502" s="1" t="str">
        <f t="shared" si="74"/>
        <v/>
      </c>
      <c r="H502" s="1" t="str">
        <f>IFERROR((VLOOKUP(G502,Backdata!G:H,2,0)),"")</f>
        <v/>
      </c>
      <c r="M502" s="5"/>
      <c r="N502" s="3">
        <f t="shared" si="78"/>
        <v>0</v>
      </c>
      <c r="O502" s="5"/>
      <c r="P502" s="3">
        <f t="shared" si="79"/>
        <v>0</v>
      </c>
      <c r="Q502" s="3">
        <f t="shared" si="75"/>
        <v>0</v>
      </c>
      <c r="T502" s="27" t="str">
        <f t="shared" si="71"/>
        <v/>
      </c>
      <c r="U502" s="1" t="str">
        <f t="shared" si="76"/>
        <v/>
      </c>
    </row>
    <row r="503" spans="2:21" hidden="1">
      <c r="B503" s="1">
        <f t="shared" si="77"/>
        <v>499</v>
      </c>
      <c r="C503" s="2"/>
      <c r="D503" s="2" t="str">
        <f t="shared" si="72"/>
        <v/>
      </c>
      <c r="E503" s="1" t="str">
        <f t="shared" si="73"/>
        <v/>
      </c>
      <c r="F503" s="1" t="str">
        <f t="shared" si="74"/>
        <v/>
      </c>
      <c r="H503" s="1" t="str">
        <f>IFERROR((VLOOKUP(G503,Backdata!G:H,2,0)),"")</f>
        <v/>
      </c>
      <c r="M503" s="5"/>
      <c r="N503" s="3">
        <f t="shared" si="78"/>
        <v>0</v>
      </c>
      <c r="O503" s="5"/>
      <c r="P503" s="3">
        <f t="shared" si="79"/>
        <v>0</v>
      </c>
      <c r="Q503" s="3">
        <f t="shared" si="75"/>
        <v>0</v>
      </c>
      <c r="T503" s="27" t="str">
        <f t="shared" si="71"/>
        <v/>
      </c>
      <c r="U503" s="1" t="str">
        <f t="shared" si="76"/>
        <v/>
      </c>
    </row>
    <row r="504" spans="2:21" hidden="1">
      <c r="B504" s="1">
        <f t="shared" si="77"/>
        <v>500</v>
      </c>
      <c r="C504" s="2"/>
      <c r="D504" s="2" t="str">
        <f t="shared" si="72"/>
        <v/>
      </c>
      <c r="E504" s="1" t="str">
        <f t="shared" si="73"/>
        <v/>
      </c>
      <c r="F504" s="1" t="str">
        <f t="shared" si="74"/>
        <v/>
      </c>
      <c r="H504" s="1" t="str">
        <f>IFERROR((VLOOKUP(G504,Backdata!G:H,2,0)),"")</f>
        <v/>
      </c>
      <c r="M504" s="5"/>
      <c r="N504" s="3">
        <f t="shared" si="78"/>
        <v>0</v>
      </c>
      <c r="O504" s="5"/>
      <c r="P504" s="3">
        <f t="shared" si="79"/>
        <v>0</v>
      </c>
      <c r="Q504" s="3">
        <f t="shared" si="75"/>
        <v>0</v>
      </c>
      <c r="T504" s="27" t="str">
        <f t="shared" si="71"/>
        <v/>
      </c>
      <c r="U504" s="1" t="str">
        <f t="shared" si="76"/>
        <v/>
      </c>
    </row>
    <row r="505" spans="2:21" hidden="1">
      <c r="B505" s="1">
        <f t="shared" si="77"/>
        <v>501</v>
      </c>
      <c r="C505" s="2"/>
      <c r="D505" s="2" t="str">
        <f t="shared" si="72"/>
        <v/>
      </c>
      <c r="E505" s="1" t="str">
        <f t="shared" si="73"/>
        <v/>
      </c>
      <c r="F505" s="1" t="str">
        <f t="shared" si="74"/>
        <v/>
      </c>
      <c r="H505" s="1" t="str">
        <f>IFERROR((VLOOKUP(G505,Backdata!G:H,2,0)),"")</f>
        <v/>
      </c>
      <c r="M505" s="5"/>
      <c r="N505" s="3">
        <f t="shared" si="78"/>
        <v>0</v>
      </c>
      <c r="O505" s="5"/>
      <c r="P505" s="3">
        <f t="shared" si="79"/>
        <v>0</v>
      </c>
      <c r="Q505" s="3">
        <f t="shared" si="75"/>
        <v>0</v>
      </c>
      <c r="T505" s="27" t="str">
        <f t="shared" ref="T505:T568" si="80">IF(OR(I505="타이어",I505=""),"",C505)</f>
        <v/>
      </c>
      <c r="U505" s="1" t="str">
        <f t="shared" si="76"/>
        <v/>
      </c>
    </row>
    <row r="506" spans="2:21" hidden="1">
      <c r="B506" s="1">
        <f t="shared" si="77"/>
        <v>502</v>
      </c>
      <c r="C506" s="2"/>
      <c r="D506" s="2" t="str">
        <f t="shared" si="72"/>
        <v/>
      </c>
      <c r="E506" s="1" t="str">
        <f t="shared" si="73"/>
        <v/>
      </c>
      <c r="F506" s="1" t="str">
        <f t="shared" si="74"/>
        <v/>
      </c>
      <c r="H506" s="1" t="str">
        <f>IFERROR((VLOOKUP(G506,Backdata!G:H,2,0)),"")</f>
        <v/>
      </c>
      <c r="M506" s="5"/>
      <c r="N506" s="3">
        <f t="shared" si="78"/>
        <v>0</v>
      </c>
      <c r="O506" s="5"/>
      <c r="P506" s="3">
        <f t="shared" si="79"/>
        <v>0</v>
      </c>
      <c r="Q506" s="3">
        <f t="shared" si="75"/>
        <v>0</v>
      </c>
      <c r="T506" s="27" t="str">
        <f t="shared" si="80"/>
        <v/>
      </c>
      <c r="U506" s="1" t="str">
        <f t="shared" si="76"/>
        <v/>
      </c>
    </row>
    <row r="507" spans="2:21" hidden="1">
      <c r="B507" s="1">
        <f t="shared" si="77"/>
        <v>503</v>
      </c>
      <c r="C507" s="2"/>
      <c r="D507" s="2" t="str">
        <f t="shared" si="72"/>
        <v/>
      </c>
      <c r="E507" s="1" t="str">
        <f t="shared" si="73"/>
        <v/>
      </c>
      <c r="F507" s="1" t="str">
        <f t="shared" si="74"/>
        <v/>
      </c>
      <c r="H507" s="1" t="str">
        <f>IFERROR((VLOOKUP(G507,Backdata!G:H,2,0)),"")</f>
        <v/>
      </c>
      <c r="M507" s="5"/>
      <c r="N507" s="3">
        <f t="shared" si="78"/>
        <v>0</v>
      </c>
      <c r="O507" s="5"/>
      <c r="P507" s="3">
        <f t="shared" si="79"/>
        <v>0</v>
      </c>
      <c r="Q507" s="3">
        <f t="shared" si="75"/>
        <v>0</v>
      </c>
      <c r="T507" s="27" t="str">
        <f t="shared" si="80"/>
        <v/>
      </c>
      <c r="U507" s="1" t="str">
        <f t="shared" si="76"/>
        <v/>
      </c>
    </row>
    <row r="508" spans="2:21" hidden="1">
      <c r="B508" s="1">
        <f t="shared" si="77"/>
        <v>504</v>
      </c>
      <c r="C508" s="2"/>
      <c r="D508" s="2" t="str">
        <f t="shared" si="72"/>
        <v/>
      </c>
      <c r="E508" s="1" t="str">
        <f t="shared" si="73"/>
        <v/>
      </c>
      <c r="F508" s="1" t="str">
        <f t="shared" si="74"/>
        <v/>
      </c>
      <c r="H508" s="1" t="str">
        <f>IFERROR((VLOOKUP(G508,Backdata!G:H,2,0)),"")</f>
        <v/>
      </c>
      <c r="M508" s="5"/>
      <c r="N508" s="3">
        <f t="shared" si="78"/>
        <v>0</v>
      </c>
      <c r="O508" s="5"/>
      <c r="P508" s="3">
        <f t="shared" si="79"/>
        <v>0</v>
      </c>
      <c r="Q508" s="3">
        <f t="shared" si="75"/>
        <v>0</v>
      </c>
      <c r="T508" s="27" t="str">
        <f t="shared" si="80"/>
        <v/>
      </c>
      <c r="U508" s="1" t="str">
        <f t="shared" si="76"/>
        <v/>
      </c>
    </row>
    <row r="509" spans="2:21" hidden="1">
      <c r="B509" s="1">
        <f t="shared" si="77"/>
        <v>505</v>
      </c>
      <c r="C509" s="2"/>
      <c r="D509" s="2" t="str">
        <f t="shared" si="72"/>
        <v/>
      </c>
      <c r="E509" s="1" t="str">
        <f t="shared" si="73"/>
        <v/>
      </c>
      <c r="F509" s="1" t="str">
        <f t="shared" si="74"/>
        <v/>
      </c>
      <c r="H509" s="1" t="str">
        <f>IFERROR((VLOOKUP(G509,Backdata!G:H,2,0)),"")</f>
        <v/>
      </c>
      <c r="M509" s="5"/>
      <c r="N509" s="3">
        <f t="shared" si="78"/>
        <v>0</v>
      </c>
      <c r="O509" s="5"/>
      <c r="P509" s="3">
        <f t="shared" si="79"/>
        <v>0</v>
      </c>
      <c r="Q509" s="3">
        <f t="shared" si="75"/>
        <v>0</v>
      </c>
      <c r="T509" s="27" t="str">
        <f t="shared" si="80"/>
        <v/>
      </c>
      <c r="U509" s="1" t="str">
        <f t="shared" si="76"/>
        <v/>
      </c>
    </row>
    <row r="510" spans="2:21" hidden="1">
      <c r="B510" s="1">
        <f t="shared" si="77"/>
        <v>506</v>
      </c>
      <c r="C510" s="2"/>
      <c r="D510" s="2" t="str">
        <f t="shared" si="72"/>
        <v/>
      </c>
      <c r="E510" s="1" t="str">
        <f t="shared" si="73"/>
        <v/>
      </c>
      <c r="F510" s="1" t="str">
        <f t="shared" si="74"/>
        <v/>
      </c>
      <c r="H510" s="1" t="str">
        <f>IFERROR((VLOOKUP(G510,Backdata!G:H,2,0)),"")</f>
        <v/>
      </c>
      <c r="M510" s="5"/>
      <c r="N510" s="3">
        <f t="shared" si="78"/>
        <v>0</v>
      </c>
      <c r="O510" s="5"/>
      <c r="P510" s="3">
        <f t="shared" si="79"/>
        <v>0</v>
      </c>
      <c r="Q510" s="3">
        <f t="shared" si="75"/>
        <v>0</v>
      </c>
      <c r="T510" s="27" t="str">
        <f t="shared" si="80"/>
        <v/>
      </c>
      <c r="U510" s="1" t="str">
        <f t="shared" si="76"/>
        <v/>
      </c>
    </row>
    <row r="511" spans="2:21" hidden="1">
      <c r="B511" s="1">
        <f t="shared" si="77"/>
        <v>507</v>
      </c>
      <c r="C511" s="2"/>
      <c r="D511" s="2" t="str">
        <f t="shared" si="72"/>
        <v/>
      </c>
      <c r="E511" s="1" t="str">
        <f t="shared" si="73"/>
        <v/>
      </c>
      <c r="F511" s="1" t="str">
        <f t="shared" si="74"/>
        <v/>
      </c>
      <c r="H511" s="1" t="str">
        <f>IFERROR((VLOOKUP(G511,Backdata!G:H,2,0)),"")</f>
        <v/>
      </c>
      <c r="M511" s="5"/>
      <c r="N511" s="3">
        <f t="shared" si="78"/>
        <v>0</v>
      </c>
      <c r="O511" s="5"/>
      <c r="P511" s="3">
        <f t="shared" si="79"/>
        <v>0</v>
      </c>
      <c r="Q511" s="3">
        <f t="shared" si="75"/>
        <v>0</v>
      </c>
      <c r="T511" s="27" t="str">
        <f t="shared" si="80"/>
        <v/>
      </c>
      <c r="U511" s="1" t="str">
        <f t="shared" si="76"/>
        <v/>
      </c>
    </row>
    <row r="512" spans="2:21" hidden="1">
      <c r="B512" s="1">
        <f t="shared" si="77"/>
        <v>508</v>
      </c>
      <c r="C512" s="2"/>
      <c r="D512" s="2" t="str">
        <f t="shared" si="72"/>
        <v/>
      </c>
      <c r="E512" s="1" t="str">
        <f t="shared" si="73"/>
        <v/>
      </c>
      <c r="F512" s="1" t="str">
        <f t="shared" si="74"/>
        <v/>
      </c>
      <c r="H512" s="1" t="str">
        <f>IFERROR((VLOOKUP(G512,Backdata!G:H,2,0)),"")</f>
        <v/>
      </c>
      <c r="M512" s="5"/>
      <c r="N512" s="3">
        <f t="shared" si="78"/>
        <v>0</v>
      </c>
      <c r="O512" s="5"/>
      <c r="P512" s="3">
        <f t="shared" si="79"/>
        <v>0</v>
      </c>
      <c r="Q512" s="3">
        <f t="shared" si="75"/>
        <v>0</v>
      </c>
      <c r="T512" s="27" t="str">
        <f t="shared" si="80"/>
        <v/>
      </c>
      <c r="U512" s="1" t="str">
        <f t="shared" si="76"/>
        <v/>
      </c>
    </row>
    <row r="513" spans="2:21" hidden="1">
      <c r="B513" s="1">
        <f t="shared" si="77"/>
        <v>509</v>
      </c>
      <c r="C513" s="2"/>
      <c r="D513" s="2" t="str">
        <f t="shared" si="72"/>
        <v/>
      </c>
      <c r="E513" s="1" t="str">
        <f t="shared" si="73"/>
        <v/>
      </c>
      <c r="F513" s="1" t="str">
        <f t="shared" si="74"/>
        <v/>
      </c>
      <c r="H513" s="1" t="str">
        <f>IFERROR((VLOOKUP(G513,Backdata!G:H,2,0)),"")</f>
        <v/>
      </c>
      <c r="M513" s="5"/>
      <c r="N513" s="3">
        <f t="shared" si="78"/>
        <v>0</v>
      </c>
      <c r="O513" s="5"/>
      <c r="P513" s="3">
        <f t="shared" si="79"/>
        <v>0</v>
      </c>
      <c r="Q513" s="3">
        <f t="shared" si="75"/>
        <v>0</v>
      </c>
      <c r="T513" s="27" t="str">
        <f t="shared" si="80"/>
        <v/>
      </c>
      <c r="U513" s="1" t="str">
        <f t="shared" si="76"/>
        <v/>
      </c>
    </row>
    <row r="514" spans="2:21" hidden="1">
      <c r="B514" s="1">
        <f t="shared" si="77"/>
        <v>510</v>
      </c>
      <c r="C514" s="2"/>
      <c r="D514" s="2" t="str">
        <f t="shared" si="72"/>
        <v/>
      </c>
      <c r="E514" s="1" t="str">
        <f t="shared" si="73"/>
        <v/>
      </c>
      <c r="F514" s="1" t="str">
        <f t="shared" si="74"/>
        <v/>
      </c>
      <c r="H514" s="1" t="str">
        <f>IFERROR((VLOOKUP(G514,Backdata!G:H,2,0)),"")</f>
        <v/>
      </c>
      <c r="M514" s="5"/>
      <c r="N514" s="3">
        <f t="shared" si="78"/>
        <v>0</v>
      </c>
      <c r="O514" s="5"/>
      <c r="P514" s="3">
        <f t="shared" si="79"/>
        <v>0</v>
      </c>
      <c r="Q514" s="3">
        <f t="shared" si="75"/>
        <v>0</v>
      </c>
      <c r="T514" s="27" t="str">
        <f t="shared" si="80"/>
        <v/>
      </c>
      <c r="U514" s="1" t="str">
        <f t="shared" si="76"/>
        <v/>
      </c>
    </row>
    <row r="515" spans="2:21" hidden="1">
      <c r="B515" s="1">
        <f t="shared" si="77"/>
        <v>511</v>
      </c>
      <c r="C515" s="2"/>
      <c r="D515" s="2" t="str">
        <f t="shared" si="72"/>
        <v/>
      </c>
      <c r="E515" s="1" t="str">
        <f t="shared" si="73"/>
        <v/>
      </c>
      <c r="F515" s="1" t="str">
        <f t="shared" si="74"/>
        <v/>
      </c>
      <c r="H515" s="1" t="str">
        <f>IFERROR((VLOOKUP(G515,Backdata!G:H,2,0)),"")</f>
        <v/>
      </c>
      <c r="M515" s="5"/>
      <c r="N515" s="3">
        <f t="shared" si="78"/>
        <v>0</v>
      </c>
      <c r="O515" s="5"/>
      <c r="P515" s="3">
        <f t="shared" si="79"/>
        <v>0</v>
      </c>
      <c r="Q515" s="3">
        <f t="shared" si="75"/>
        <v>0</v>
      </c>
      <c r="T515" s="27" t="str">
        <f t="shared" si="80"/>
        <v/>
      </c>
      <c r="U515" s="1" t="str">
        <f t="shared" si="76"/>
        <v/>
      </c>
    </row>
    <row r="516" spans="2:21" hidden="1">
      <c r="B516" s="1">
        <f t="shared" si="77"/>
        <v>512</v>
      </c>
      <c r="C516" s="2"/>
      <c r="D516" s="2" t="str">
        <f t="shared" si="72"/>
        <v/>
      </c>
      <c r="E516" s="1" t="str">
        <f t="shared" si="73"/>
        <v/>
      </c>
      <c r="F516" s="1" t="str">
        <f t="shared" si="74"/>
        <v/>
      </c>
      <c r="H516" s="1" t="str">
        <f>IFERROR((VLOOKUP(G516,Backdata!G:H,2,0)),"")</f>
        <v/>
      </c>
      <c r="M516" s="5"/>
      <c r="N516" s="3">
        <f t="shared" si="78"/>
        <v>0</v>
      </c>
      <c r="O516" s="5"/>
      <c r="P516" s="3">
        <f t="shared" si="79"/>
        <v>0</v>
      </c>
      <c r="Q516" s="3">
        <f t="shared" si="75"/>
        <v>0</v>
      </c>
      <c r="T516" s="27" t="str">
        <f t="shared" si="80"/>
        <v/>
      </c>
      <c r="U516" s="1" t="str">
        <f t="shared" si="76"/>
        <v/>
      </c>
    </row>
    <row r="517" spans="2:21" hidden="1">
      <c r="B517" s="1">
        <f t="shared" si="77"/>
        <v>513</v>
      </c>
      <c r="C517" s="2"/>
      <c r="D517" s="2" t="str">
        <f t="shared" ref="D517:D580" si="81">IF((C517=""),"",(YEAR(C517)&amp;"년"))</f>
        <v/>
      </c>
      <c r="E517" s="1" t="str">
        <f t="shared" ref="E517:E580" si="82">IF((C517=""),"",(MONTH(C517)&amp;"월"))</f>
        <v/>
      </c>
      <c r="F517" s="1" t="str">
        <f t="shared" ref="F517:F580" si="83">CONCATENATE(D517,E517)</f>
        <v/>
      </c>
      <c r="H517" s="1" t="str">
        <f>IFERROR((VLOOKUP(G517,Backdata!G:H,2,0)),"")</f>
        <v/>
      </c>
      <c r="M517" s="5"/>
      <c r="N517" s="3">
        <f t="shared" si="78"/>
        <v>0</v>
      </c>
      <c r="O517" s="5"/>
      <c r="P517" s="3">
        <f t="shared" si="79"/>
        <v>0</v>
      </c>
      <c r="Q517" s="3">
        <f t="shared" ref="Q517:Q580" si="84">N517-P517</f>
        <v>0</v>
      </c>
      <c r="T517" s="27" t="str">
        <f t="shared" si="80"/>
        <v/>
      </c>
      <c r="U517" s="1" t="str">
        <f t="shared" ref="U517:U580" si="85">IF(T517="","","완료")</f>
        <v/>
      </c>
    </row>
    <row r="518" spans="2:21" hidden="1">
      <c r="B518" s="1">
        <f t="shared" ref="B518:B581" si="86">B517+1</f>
        <v>514</v>
      </c>
      <c r="C518" s="2"/>
      <c r="D518" s="2" t="str">
        <f t="shared" si="81"/>
        <v/>
      </c>
      <c r="E518" s="1" t="str">
        <f t="shared" si="82"/>
        <v/>
      </c>
      <c r="F518" s="1" t="str">
        <f t="shared" si="83"/>
        <v/>
      </c>
      <c r="H518" s="1" t="str">
        <f>IFERROR((VLOOKUP(G518,Backdata!G:H,2,0)),"")</f>
        <v/>
      </c>
      <c r="M518" s="5"/>
      <c r="N518" s="3">
        <f t="shared" ref="N518:N581" si="87">M518*L518*1.1</f>
        <v>0</v>
      </c>
      <c r="O518" s="5"/>
      <c r="P518" s="3">
        <f t="shared" ref="P518:P581" si="88">O518*L518*1.1</f>
        <v>0</v>
      </c>
      <c r="Q518" s="3">
        <f t="shared" si="84"/>
        <v>0</v>
      </c>
      <c r="T518" s="27" t="str">
        <f t="shared" si="80"/>
        <v/>
      </c>
      <c r="U518" s="1" t="str">
        <f t="shared" si="85"/>
        <v/>
      </c>
    </row>
    <row r="519" spans="2:21" hidden="1">
      <c r="B519" s="1">
        <f t="shared" si="86"/>
        <v>515</v>
      </c>
      <c r="C519" s="2"/>
      <c r="D519" s="2" t="str">
        <f t="shared" si="81"/>
        <v/>
      </c>
      <c r="E519" s="1" t="str">
        <f t="shared" si="82"/>
        <v/>
      </c>
      <c r="F519" s="1" t="str">
        <f t="shared" si="83"/>
        <v/>
      </c>
      <c r="H519" s="1" t="str">
        <f>IFERROR((VLOOKUP(G519,Backdata!G:H,2,0)),"")</f>
        <v/>
      </c>
      <c r="M519" s="5"/>
      <c r="N519" s="3">
        <f t="shared" si="87"/>
        <v>0</v>
      </c>
      <c r="O519" s="5"/>
      <c r="P519" s="3">
        <f t="shared" si="88"/>
        <v>0</v>
      </c>
      <c r="Q519" s="3">
        <f t="shared" si="84"/>
        <v>0</v>
      </c>
      <c r="T519" s="27" t="str">
        <f t="shared" si="80"/>
        <v/>
      </c>
      <c r="U519" s="1" t="str">
        <f t="shared" si="85"/>
        <v/>
      </c>
    </row>
    <row r="520" spans="2:21" hidden="1">
      <c r="B520" s="1">
        <f t="shared" si="86"/>
        <v>516</v>
      </c>
      <c r="C520" s="2"/>
      <c r="D520" s="2" t="str">
        <f t="shared" si="81"/>
        <v/>
      </c>
      <c r="E520" s="1" t="str">
        <f t="shared" si="82"/>
        <v/>
      </c>
      <c r="F520" s="1" t="str">
        <f t="shared" si="83"/>
        <v/>
      </c>
      <c r="H520" s="1" t="str">
        <f>IFERROR((VLOOKUP(G520,Backdata!G:H,2,0)),"")</f>
        <v/>
      </c>
      <c r="M520" s="5"/>
      <c r="N520" s="3">
        <f t="shared" si="87"/>
        <v>0</v>
      </c>
      <c r="O520" s="5"/>
      <c r="P520" s="3">
        <f t="shared" si="88"/>
        <v>0</v>
      </c>
      <c r="Q520" s="3">
        <f t="shared" si="84"/>
        <v>0</v>
      </c>
      <c r="T520" s="27" t="str">
        <f t="shared" si="80"/>
        <v/>
      </c>
      <c r="U520" s="1" t="str">
        <f t="shared" si="85"/>
        <v/>
      </c>
    </row>
    <row r="521" spans="2:21" hidden="1">
      <c r="B521" s="1">
        <f t="shared" si="86"/>
        <v>517</v>
      </c>
      <c r="C521" s="2"/>
      <c r="D521" s="2" t="str">
        <f t="shared" si="81"/>
        <v/>
      </c>
      <c r="E521" s="1" t="str">
        <f t="shared" si="82"/>
        <v/>
      </c>
      <c r="F521" s="1" t="str">
        <f t="shared" si="83"/>
        <v/>
      </c>
      <c r="H521" s="1" t="str">
        <f>IFERROR((VLOOKUP(G521,Backdata!G:H,2,0)),"")</f>
        <v/>
      </c>
      <c r="M521" s="5"/>
      <c r="N521" s="3">
        <f t="shared" si="87"/>
        <v>0</v>
      </c>
      <c r="O521" s="5"/>
      <c r="P521" s="3">
        <f t="shared" si="88"/>
        <v>0</v>
      </c>
      <c r="Q521" s="3">
        <f t="shared" si="84"/>
        <v>0</v>
      </c>
      <c r="T521" s="27" t="str">
        <f t="shared" si="80"/>
        <v/>
      </c>
      <c r="U521" s="1" t="str">
        <f t="shared" si="85"/>
        <v/>
      </c>
    </row>
    <row r="522" spans="2:21" hidden="1">
      <c r="B522" s="1">
        <f t="shared" si="86"/>
        <v>518</v>
      </c>
      <c r="C522" s="2"/>
      <c r="D522" s="2" t="str">
        <f t="shared" si="81"/>
        <v/>
      </c>
      <c r="E522" s="1" t="str">
        <f t="shared" si="82"/>
        <v/>
      </c>
      <c r="F522" s="1" t="str">
        <f t="shared" si="83"/>
        <v/>
      </c>
      <c r="H522" s="1" t="str">
        <f>IFERROR((VLOOKUP(G522,Backdata!G:H,2,0)),"")</f>
        <v/>
      </c>
      <c r="M522" s="5"/>
      <c r="N522" s="3">
        <f t="shared" si="87"/>
        <v>0</v>
      </c>
      <c r="O522" s="5"/>
      <c r="P522" s="3">
        <f t="shared" si="88"/>
        <v>0</v>
      </c>
      <c r="Q522" s="3">
        <f t="shared" si="84"/>
        <v>0</v>
      </c>
      <c r="T522" s="27" t="str">
        <f t="shared" si="80"/>
        <v/>
      </c>
      <c r="U522" s="1" t="str">
        <f t="shared" si="85"/>
        <v/>
      </c>
    </row>
    <row r="523" spans="2:21" hidden="1">
      <c r="B523" s="1">
        <f t="shared" si="86"/>
        <v>519</v>
      </c>
      <c r="C523" s="2"/>
      <c r="D523" s="2" t="str">
        <f t="shared" si="81"/>
        <v/>
      </c>
      <c r="E523" s="1" t="str">
        <f t="shared" si="82"/>
        <v/>
      </c>
      <c r="F523" s="1" t="str">
        <f t="shared" si="83"/>
        <v/>
      </c>
      <c r="H523" s="1" t="str">
        <f>IFERROR((VLOOKUP(G523,Backdata!G:H,2,0)),"")</f>
        <v/>
      </c>
      <c r="M523" s="5"/>
      <c r="N523" s="3">
        <f t="shared" si="87"/>
        <v>0</v>
      </c>
      <c r="O523" s="5"/>
      <c r="P523" s="3">
        <f t="shared" si="88"/>
        <v>0</v>
      </c>
      <c r="Q523" s="3">
        <f t="shared" si="84"/>
        <v>0</v>
      </c>
      <c r="T523" s="27" t="str">
        <f t="shared" si="80"/>
        <v/>
      </c>
      <c r="U523" s="1" t="str">
        <f t="shared" si="85"/>
        <v/>
      </c>
    </row>
    <row r="524" spans="2:21" hidden="1">
      <c r="B524" s="1">
        <f t="shared" si="86"/>
        <v>520</v>
      </c>
      <c r="C524" s="2"/>
      <c r="D524" s="2" t="str">
        <f t="shared" si="81"/>
        <v/>
      </c>
      <c r="E524" s="1" t="str">
        <f t="shared" si="82"/>
        <v/>
      </c>
      <c r="F524" s="1" t="str">
        <f t="shared" si="83"/>
        <v/>
      </c>
      <c r="H524" s="1" t="str">
        <f>IFERROR((VLOOKUP(G524,Backdata!G:H,2,0)),"")</f>
        <v/>
      </c>
      <c r="M524" s="5"/>
      <c r="N524" s="3">
        <f t="shared" si="87"/>
        <v>0</v>
      </c>
      <c r="O524" s="5"/>
      <c r="P524" s="3">
        <f t="shared" si="88"/>
        <v>0</v>
      </c>
      <c r="Q524" s="3">
        <f t="shared" si="84"/>
        <v>0</v>
      </c>
      <c r="T524" s="27" t="str">
        <f t="shared" si="80"/>
        <v/>
      </c>
      <c r="U524" s="1" t="str">
        <f t="shared" si="85"/>
        <v/>
      </c>
    </row>
    <row r="525" spans="2:21" hidden="1">
      <c r="B525" s="1">
        <f t="shared" si="86"/>
        <v>521</v>
      </c>
      <c r="C525" s="2"/>
      <c r="D525" s="2" t="str">
        <f t="shared" si="81"/>
        <v/>
      </c>
      <c r="E525" s="1" t="str">
        <f t="shared" si="82"/>
        <v/>
      </c>
      <c r="F525" s="1" t="str">
        <f t="shared" si="83"/>
        <v/>
      </c>
      <c r="H525" s="1" t="str">
        <f>IFERROR((VLOOKUP(G525,Backdata!G:H,2,0)),"")</f>
        <v/>
      </c>
      <c r="M525" s="5"/>
      <c r="N525" s="3">
        <f t="shared" si="87"/>
        <v>0</v>
      </c>
      <c r="O525" s="5"/>
      <c r="P525" s="3">
        <f t="shared" si="88"/>
        <v>0</v>
      </c>
      <c r="Q525" s="3">
        <f t="shared" si="84"/>
        <v>0</v>
      </c>
      <c r="T525" s="27" t="str">
        <f t="shared" si="80"/>
        <v/>
      </c>
      <c r="U525" s="1" t="str">
        <f t="shared" si="85"/>
        <v/>
      </c>
    </row>
    <row r="526" spans="2:21" hidden="1">
      <c r="B526" s="1">
        <f t="shared" si="86"/>
        <v>522</v>
      </c>
      <c r="C526" s="2"/>
      <c r="D526" s="2" t="str">
        <f t="shared" si="81"/>
        <v/>
      </c>
      <c r="E526" s="1" t="str">
        <f t="shared" si="82"/>
        <v/>
      </c>
      <c r="F526" s="1" t="str">
        <f t="shared" si="83"/>
        <v/>
      </c>
      <c r="H526" s="1" t="str">
        <f>IFERROR((VLOOKUP(G526,Backdata!G:H,2,0)),"")</f>
        <v/>
      </c>
      <c r="M526" s="5"/>
      <c r="N526" s="3">
        <f t="shared" si="87"/>
        <v>0</v>
      </c>
      <c r="O526" s="5"/>
      <c r="P526" s="3">
        <f t="shared" si="88"/>
        <v>0</v>
      </c>
      <c r="Q526" s="3">
        <f t="shared" si="84"/>
        <v>0</v>
      </c>
      <c r="T526" s="27" t="str">
        <f t="shared" si="80"/>
        <v/>
      </c>
      <c r="U526" s="1" t="str">
        <f t="shared" si="85"/>
        <v/>
      </c>
    </row>
    <row r="527" spans="2:21" hidden="1">
      <c r="B527" s="1">
        <f t="shared" si="86"/>
        <v>523</v>
      </c>
      <c r="C527" s="2"/>
      <c r="D527" s="2" t="str">
        <f t="shared" si="81"/>
        <v/>
      </c>
      <c r="E527" s="1" t="str">
        <f t="shared" si="82"/>
        <v/>
      </c>
      <c r="F527" s="1" t="str">
        <f t="shared" si="83"/>
        <v/>
      </c>
      <c r="H527" s="1" t="str">
        <f>IFERROR((VLOOKUP(G527,Backdata!G:H,2,0)),"")</f>
        <v/>
      </c>
      <c r="M527" s="5"/>
      <c r="N527" s="3">
        <f t="shared" si="87"/>
        <v>0</v>
      </c>
      <c r="O527" s="5"/>
      <c r="P527" s="3">
        <f t="shared" si="88"/>
        <v>0</v>
      </c>
      <c r="Q527" s="3">
        <f t="shared" si="84"/>
        <v>0</v>
      </c>
      <c r="T527" s="27" t="str">
        <f t="shared" si="80"/>
        <v/>
      </c>
      <c r="U527" s="1" t="str">
        <f t="shared" si="85"/>
        <v/>
      </c>
    </row>
    <row r="528" spans="2:21" hidden="1">
      <c r="B528" s="1">
        <f t="shared" si="86"/>
        <v>524</v>
      </c>
      <c r="C528" s="2"/>
      <c r="D528" s="2" t="str">
        <f t="shared" si="81"/>
        <v/>
      </c>
      <c r="E528" s="1" t="str">
        <f t="shared" si="82"/>
        <v/>
      </c>
      <c r="F528" s="1" t="str">
        <f t="shared" si="83"/>
        <v/>
      </c>
      <c r="H528" s="1" t="str">
        <f>IFERROR((VLOOKUP(G528,Backdata!G:H,2,0)),"")</f>
        <v/>
      </c>
      <c r="M528" s="5"/>
      <c r="N528" s="3">
        <f t="shared" si="87"/>
        <v>0</v>
      </c>
      <c r="O528" s="5"/>
      <c r="P528" s="3">
        <f t="shared" si="88"/>
        <v>0</v>
      </c>
      <c r="Q528" s="3">
        <f t="shared" si="84"/>
        <v>0</v>
      </c>
      <c r="T528" s="27" t="str">
        <f t="shared" si="80"/>
        <v/>
      </c>
      <c r="U528" s="1" t="str">
        <f t="shared" si="85"/>
        <v/>
      </c>
    </row>
    <row r="529" spans="2:21" hidden="1">
      <c r="B529" s="1">
        <f t="shared" si="86"/>
        <v>525</v>
      </c>
      <c r="C529" s="2"/>
      <c r="D529" s="2" t="str">
        <f t="shared" si="81"/>
        <v/>
      </c>
      <c r="E529" s="1" t="str">
        <f t="shared" si="82"/>
        <v/>
      </c>
      <c r="F529" s="1" t="str">
        <f t="shared" si="83"/>
        <v/>
      </c>
      <c r="H529" s="1" t="str">
        <f>IFERROR((VLOOKUP(G529,Backdata!G:H,2,0)),"")</f>
        <v/>
      </c>
      <c r="M529" s="5"/>
      <c r="N529" s="3">
        <f t="shared" si="87"/>
        <v>0</v>
      </c>
      <c r="O529" s="5"/>
      <c r="P529" s="3">
        <f t="shared" si="88"/>
        <v>0</v>
      </c>
      <c r="Q529" s="3">
        <f t="shared" si="84"/>
        <v>0</v>
      </c>
      <c r="T529" s="27" t="str">
        <f t="shared" si="80"/>
        <v/>
      </c>
      <c r="U529" s="1" t="str">
        <f t="shared" si="85"/>
        <v/>
      </c>
    </row>
    <row r="530" spans="2:21" hidden="1">
      <c r="B530" s="1">
        <f t="shared" si="86"/>
        <v>526</v>
      </c>
      <c r="C530" s="2"/>
      <c r="D530" s="2" t="str">
        <f t="shared" si="81"/>
        <v/>
      </c>
      <c r="E530" s="1" t="str">
        <f t="shared" si="82"/>
        <v/>
      </c>
      <c r="F530" s="1" t="str">
        <f t="shared" si="83"/>
        <v/>
      </c>
      <c r="H530" s="1" t="str">
        <f>IFERROR((VLOOKUP(G530,Backdata!G:H,2,0)),"")</f>
        <v/>
      </c>
      <c r="M530" s="5"/>
      <c r="N530" s="3">
        <f t="shared" si="87"/>
        <v>0</v>
      </c>
      <c r="O530" s="5"/>
      <c r="P530" s="3">
        <f t="shared" si="88"/>
        <v>0</v>
      </c>
      <c r="Q530" s="3">
        <f t="shared" si="84"/>
        <v>0</v>
      </c>
      <c r="T530" s="27" t="str">
        <f t="shared" si="80"/>
        <v/>
      </c>
      <c r="U530" s="1" t="str">
        <f t="shared" si="85"/>
        <v/>
      </c>
    </row>
    <row r="531" spans="2:21" hidden="1">
      <c r="B531" s="1">
        <f t="shared" si="86"/>
        <v>527</v>
      </c>
      <c r="C531" s="2"/>
      <c r="D531" s="2" t="str">
        <f t="shared" si="81"/>
        <v/>
      </c>
      <c r="E531" s="1" t="str">
        <f t="shared" si="82"/>
        <v/>
      </c>
      <c r="F531" s="1" t="str">
        <f t="shared" si="83"/>
        <v/>
      </c>
      <c r="H531" s="1" t="str">
        <f>IFERROR((VLOOKUP(G531,Backdata!G:H,2,0)),"")</f>
        <v/>
      </c>
      <c r="M531" s="5"/>
      <c r="N531" s="3">
        <f t="shared" si="87"/>
        <v>0</v>
      </c>
      <c r="O531" s="5"/>
      <c r="P531" s="3">
        <f t="shared" si="88"/>
        <v>0</v>
      </c>
      <c r="Q531" s="3">
        <f t="shared" si="84"/>
        <v>0</v>
      </c>
      <c r="T531" s="27" t="str">
        <f t="shared" si="80"/>
        <v/>
      </c>
      <c r="U531" s="1" t="str">
        <f t="shared" si="85"/>
        <v/>
      </c>
    </row>
    <row r="532" spans="2:21" hidden="1">
      <c r="B532" s="1">
        <f t="shared" si="86"/>
        <v>528</v>
      </c>
      <c r="C532" s="2"/>
      <c r="D532" s="2" t="str">
        <f t="shared" si="81"/>
        <v/>
      </c>
      <c r="E532" s="1" t="str">
        <f t="shared" si="82"/>
        <v/>
      </c>
      <c r="F532" s="1" t="str">
        <f t="shared" si="83"/>
        <v/>
      </c>
      <c r="H532" s="1" t="str">
        <f>IFERROR((VLOOKUP(G532,Backdata!G:H,2,0)),"")</f>
        <v/>
      </c>
      <c r="M532" s="5"/>
      <c r="N532" s="3">
        <f t="shared" si="87"/>
        <v>0</v>
      </c>
      <c r="O532" s="5"/>
      <c r="P532" s="3">
        <f t="shared" si="88"/>
        <v>0</v>
      </c>
      <c r="Q532" s="3">
        <f t="shared" si="84"/>
        <v>0</v>
      </c>
      <c r="T532" s="27" t="str">
        <f t="shared" si="80"/>
        <v/>
      </c>
      <c r="U532" s="1" t="str">
        <f t="shared" si="85"/>
        <v/>
      </c>
    </row>
    <row r="533" spans="2:21" hidden="1">
      <c r="B533" s="1">
        <f t="shared" si="86"/>
        <v>529</v>
      </c>
      <c r="C533" s="2"/>
      <c r="D533" s="2" t="str">
        <f t="shared" si="81"/>
        <v/>
      </c>
      <c r="E533" s="1" t="str">
        <f t="shared" si="82"/>
        <v/>
      </c>
      <c r="F533" s="1" t="str">
        <f t="shared" si="83"/>
        <v/>
      </c>
      <c r="H533" s="1" t="str">
        <f>IFERROR((VLOOKUP(G533,Backdata!G:H,2,0)),"")</f>
        <v/>
      </c>
      <c r="M533" s="5"/>
      <c r="N533" s="3">
        <f t="shared" si="87"/>
        <v>0</v>
      </c>
      <c r="O533" s="5"/>
      <c r="P533" s="3">
        <f t="shared" si="88"/>
        <v>0</v>
      </c>
      <c r="Q533" s="3">
        <f t="shared" si="84"/>
        <v>0</v>
      </c>
      <c r="T533" s="27" t="str">
        <f t="shared" si="80"/>
        <v/>
      </c>
      <c r="U533" s="1" t="str">
        <f t="shared" si="85"/>
        <v/>
      </c>
    </row>
    <row r="534" spans="2:21" hidden="1">
      <c r="B534" s="1">
        <f t="shared" si="86"/>
        <v>530</v>
      </c>
      <c r="C534" s="2"/>
      <c r="D534" s="2" t="str">
        <f t="shared" si="81"/>
        <v/>
      </c>
      <c r="E534" s="1" t="str">
        <f t="shared" si="82"/>
        <v/>
      </c>
      <c r="F534" s="1" t="str">
        <f t="shared" si="83"/>
        <v/>
      </c>
      <c r="H534" s="1" t="str">
        <f>IFERROR((VLOOKUP(G534,Backdata!G:H,2,0)),"")</f>
        <v/>
      </c>
      <c r="M534" s="5"/>
      <c r="N534" s="3">
        <f t="shared" si="87"/>
        <v>0</v>
      </c>
      <c r="O534" s="5"/>
      <c r="P534" s="3">
        <f t="shared" si="88"/>
        <v>0</v>
      </c>
      <c r="Q534" s="3">
        <f t="shared" si="84"/>
        <v>0</v>
      </c>
      <c r="T534" s="27" t="str">
        <f t="shared" si="80"/>
        <v/>
      </c>
      <c r="U534" s="1" t="str">
        <f t="shared" si="85"/>
        <v/>
      </c>
    </row>
    <row r="535" spans="2:21" hidden="1">
      <c r="B535" s="1">
        <f t="shared" si="86"/>
        <v>531</v>
      </c>
      <c r="C535" s="2"/>
      <c r="D535" s="2" t="str">
        <f t="shared" si="81"/>
        <v/>
      </c>
      <c r="E535" s="1" t="str">
        <f t="shared" si="82"/>
        <v/>
      </c>
      <c r="F535" s="1" t="str">
        <f t="shared" si="83"/>
        <v/>
      </c>
      <c r="H535" s="1" t="str">
        <f>IFERROR((VLOOKUP(G535,Backdata!G:H,2,0)),"")</f>
        <v/>
      </c>
      <c r="M535" s="5"/>
      <c r="N535" s="3">
        <f t="shared" si="87"/>
        <v>0</v>
      </c>
      <c r="O535" s="5"/>
      <c r="P535" s="3">
        <f t="shared" si="88"/>
        <v>0</v>
      </c>
      <c r="Q535" s="3">
        <f t="shared" si="84"/>
        <v>0</v>
      </c>
      <c r="T535" s="27" t="str">
        <f t="shared" si="80"/>
        <v/>
      </c>
      <c r="U535" s="1" t="str">
        <f t="shared" si="85"/>
        <v/>
      </c>
    </row>
    <row r="536" spans="2:21" hidden="1">
      <c r="B536" s="1">
        <f t="shared" si="86"/>
        <v>532</v>
      </c>
      <c r="C536" s="2"/>
      <c r="D536" s="2" t="str">
        <f t="shared" si="81"/>
        <v/>
      </c>
      <c r="E536" s="1" t="str">
        <f t="shared" si="82"/>
        <v/>
      </c>
      <c r="F536" s="1" t="str">
        <f t="shared" si="83"/>
        <v/>
      </c>
      <c r="H536" s="1" t="str">
        <f>IFERROR((VLOOKUP(G536,Backdata!G:H,2,0)),"")</f>
        <v/>
      </c>
      <c r="M536" s="5"/>
      <c r="N536" s="3">
        <f t="shared" si="87"/>
        <v>0</v>
      </c>
      <c r="O536" s="5"/>
      <c r="P536" s="3">
        <f t="shared" si="88"/>
        <v>0</v>
      </c>
      <c r="Q536" s="3">
        <f t="shared" si="84"/>
        <v>0</v>
      </c>
      <c r="T536" s="27" t="str">
        <f t="shared" si="80"/>
        <v/>
      </c>
      <c r="U536" s="1" t="str">
        <f t="shared" si="85"/>
        <v/>
      </c>
    </row>
    <row r="537" spans="2:21" hidden="1">
      <c r="B537" s="1">
        <f t="shared" si="86"/>
        <v>533</v>
      </c>
      <c r="C537" s="2"/>
      <c r="D537" s="2" t="str">
        <f t="shared" si="81"/>
        <v/>
      </c>
      <c r="E537" s="1" t="str">
        <f t="shared" si="82"/>
        <v/>
      </c>
      <c r="F537" s="1" t="str">
        <f t="shared" si="83"/>
        <v/>
      </c>
      <c r="H537" s="1" t="str">
        <f>IFERROR((VLOOKUP(G537,Backdata!G:H,2,0)),"")</f>
        <v/>
      </c>
      <c r="M537" s="5"/>
      <c r="N537" s="3">
        <f t="shared" si="87"/>
        <v>0</v>
      </c>
      <c r="O537" s="5"/>
      <c r="P537" s="3">
        <f t="shared" si="88"/>
        <v>0</v>
      </c>
      <c r="Q537" s="3">
        <f t="shared" si="84"/>
        <v>0</v>
      </c>
      <c r="T537" s="27" t="str">
        <f t="shared" si="80"/>
        <v/>
      </c>
      <c r="U537" s="1" t="str">
        <f t="shared" si="85"/>
        <v/>
      </c>
    </row>
    <row r="538" spans="2:21" hidden="1">
      <c r="B538" s="1">
        <f t="shared" si="86"/>
        <v>534</v>
      </c>
      <c r="C538" s="2"/>
      <c r="D538" s="2" t="str">
        <f t="shared" si="81"/>
        <v/>
      </c>
      <c r="E538" s="1" t="str">
        <f t="shared" si="82"/>
        <v/>
      </c>
      <c r="F538" s="1" t="str">
        <f t="shared" si="83"/>
        <v/>
      </c>
      <c r="H538" s="1" t="str">
        <f>IFERROR((VLOOKUP(G538,Backdata!G:H,2,0)),"")</f>
        <v/>
      </c>
      <c r="M538" s="5"/>
      <c r="N538" s="3">
        <f t="shared" si="87"/>
        <v>0</v>
      </c>
      <c r="O538" s="5"/>
      <c r="P538" s="3">
        <f t="shared" si="88"/>
        <v>0</v>
      </c>
      <c r="Q538" s="3">
        <f t="shared" si="84"/>
        <v>0</v>
      </c>
      <c r="T538" s="27" t="str">
        <f t="shared" si="80"/>
        <v/>
      </c>
      <c r="U538" s="1" t="str">
        <f t="shared" si="85"/>
        <v/>
      </c>
    </row>
    <row r="539" spans="2:21" hidden="1">
      <c r="B539" s="1">
        <f t="shared" si="86"/>
        <v>535</v>
      </c>
      <c r="C539" s="2"/>
      <c r="D539" s="2" t="str">
        <f t="shared" si="81"/>
        <v/>
      </c>
      <c r="E539" s="1" t="str">
        <f t="shared" si="82"/>
        <v/>
      </c>
      <c r="F539" s="1" t="str">
        <f t="shared" si="83"/>
        <v/>
      </c>
      <c r="H539" s="1" t="str">
        <f>IFERROR((VLOOKUP(G539,Backdata!G:H,2,0)),"")</f>
        <v/>
      </c>
      <c r="M539" s="5"/>
      <c r="N539" s="3">
        <f t="shared" si="87"/>
        <v>0</v>
      </c>
      <c r="O539" s="5"/>
      <c r="P539" s="3">
        <f t="shared" si="88"/>
        <v>0</v>
      </c>
      <c r="Q539" s="3">
        <f t="shared" si="84"/>
        <v>0</v>
      </c>
      <c r="T539" s="27" t="str">
        <f t="shared" si="80"/>
        <v/>
      </c>
      <c r="U539" s="1" t="str">
        <f t="shared" si="85"/>
        <v/>
      </c>
    </row>
    <row r="540" spans="2:21" hidden="1">
      <c r="B540" s="1">
        <f t="shared" si="86"/>
        <v>536</v>
      </c>
      <c r="C540" s="2"/>
      <c r="D540" s="2" t="str">
        <f t="shared" si="81"/>
        <v/>
      </c>
      <c r="E540" s="1" t="str">
        <f t="shared" si="82"/>
        <v/>
      </c>
      <c r="F540" s="1" t="str">
        <f t="shared" si="83"/>
        <v/>
      </c>
      <c r="H540" s="1" t="str">
        <f>IFERROR((VLOOKUP(G540,Backdata!G:H,2,0)),"")</f>
        <v/>
      </c>
      <c r="M540" s="5"/>
      <c r="N540" s="3">
        <f t="shared" si="87"/>
        <v>0</v>
      </c>
      <c r="O540" s="5"/>
      <c r="P540" s="3">
        <f t="shared" si="88"/>
        <v>0</v>
      </c>
      <c r="Q540" s="3">
        <f t="shared" si="84"/>
        <v>0</v>
      </c>
      <c r="T540" s="27" t="str">
        <f t="shared" si="80"/>
        <v/>
      </c>
      <c r="U540" s="1" t="str">
        <f t="shared" si="85"/>
        <v/>
      </c>
    </row>
    <row r="541" spans="2:21" hidden="1">
      <c r="B541" s="1">
        <f t="shared" si="86"/>
        <v>537</v>
      </c>
      <c r="C541" s="2"/>
      <c r="D541" s="2" t="str">
        <f t="shared" si="81"/>
        <v/>
      </c>
      <c r="E541" s="1" t="str">
        <f t="shared" si="82"/>
        <v/>
      </c>
      <c r="F541" s="1" t="str">
        <f t="shared" si="83"/>
        <v/>
      </c>
      <c r="H541" s="1" t="str">
        <f>IFERROR((VLOOKUP(G541,Backdata!G:H,2,0)),"")</f>
        <v/>
      </c>
      <c r="M541" s="5"/>
      <c r="N541" s="3">
        <f t="shared" si="87"/>
        <v>0</v>
      </c>
      <c r="O541" s="5"/>
      <c r="P541" s="3">
        <f t="shared" si="88"/>
        <v>0</v>
      </c>
      <c r="Q541" s="3">
        <f t="shared" si="84"/>
        <v>0</v>
      </c>
      <c r="T541" s="27" t="str">
        <f t="shared" si="80"/>
        <v/>
      </c>
      <c r="U541" s="1" t="str">
        <f t="shared" si="85"/>
        <v/>
      </c>
    </row>
    <row r="542" spans="2:21" hidden="1">
      <c r="B542" s="1">
        <f t="shared" si="86"/>
        <v>538</v>
      </c>
      <c r="C542" s="2"/>
      <c r="D542" s="2" t="str">
        <f t="shared" si="81"/>
        <v/>
      </c>
      <c r="E542" s="1" t="str">
        <f t="shared" si="82"/>
        <v/>
      </c>
      <c r="F542" s="1" t="str">
        <f t="shared" si="83"/>
        <v/>
      </c>
      <c r="H542" s="1" t="str">
        <f>IFERROR((VLOOKUP(G542,Backdata!G:H,2,0)),"")</f>
        <v/>
      </c>
      <c r="M542" s="5"/>
      <c r="N542" s="3">
        <f t="shared" si="87"/>
        <v>0</v>
      </c>
      <c r="O542" s="5"/>
      <c r="P542" s="3">
        <f t="shared" si="88"/>
        <v>0</v>
      </c>
      <c r="Q542" s="3">
        <f t="shared" si="84"/>
        <v>0</v>
      </c>
      <c r="T542" s="27" t="str">
        <f t="shared" si="80"/>
        <v/>
      </c>
      <c r="U542" s="1" t="str">
        <f t="shared" si="85"/>
        <v/>
      </c>
    </row>
    <row r="543" spans="2:21" hidden="1">
      <c r="B543" s="1">
        <f t="shared" si="86"/>
        <v>539</v>
      </c>
      <c r="C543" s="2"/>
      <c r="D543" s="2" t="str">
        <f t="shared" si="81"/>
        <v/>
      </c>
      <c r="E543" s="1" t="str">
        <f t="shared" si="82"/>
        <v/>
      </c>
      <c r="F543" s="1" t="str">
        <f t="shared" si="83"/>
        <v/>
      </c>
      <c r="H543" s="1" t="str">
        <f>IFERROR((VLOOKUP(G543,Backdata!G:H,2,0)),"")</f>
        <v/>
      </c>
      <c r="M543" s="5"/>
      <c r="N543" s="3">
        <f t="shared" si="87"/>
        <v>0</v>
      </c>
      <c r="O543" s="5"/>
      <c r="P543" s="3">
        <f t="shared" si="88"/>
        <v>0</v>
      </c>
      <c r="Q543" s="3">
        <f t="shared" si="84"/>
        <v>0</v>
      </c>
      <c r="T543" s="27" t="str">
        <f t="shared" si="80"/>
        <v/>
      </c>
      <c r="U543" s="1" t="str">
        <f t="shared" si="85"/>
        <v/>
      </c>
    </row>
    <row r="544" spans="2:21" hidden="1">
      <c r="B544" s="1">
        <f t="shared" si="86"/>
        <v>540</v>
      </c>
      <c r="C544" s="2"/>
      <c r="D544" s="2" t="str">
        <f t="shared" si="81"/>
        <v/>
      </c>
      <c r="E544" s="1" t="str">
        <f t="shared" si="82"/>
        <v/>
      </c>
      <c r="F544" s="1" t="str">
        <f t="shared" si="83"/>
        <v/>
      </c>
      <c r="H544" s="1" t="str">
        <f>IFERROR((VLOOKUP(G544,Backdata!G:H,2,0)),"")</f>
        <v/>
      </c>
      <c r="M544" s="5"/>
      <c r="N544" s="3">
        <f t="shared" si="87"/>
        <v>0</v>
      </c>
      <c r="O544" s="5"/>
      <c r="P544" s="3">
        <f t="shared" si="88"/>
        <v>0</v>
      </c>
      <c r="Q544" s="3">
        <f t="shared" si="84"/>
        <v>0</v>
      </c>
      <c r="T544" s="27" t="str">
        <f t="shared" si="80"/>
        <v/>
      </c>
      <c r="U544" s="1" t="str">
        <f t="shared" si="85"/>
        <v/>
      </c>
    </row>
    <row r="545" spans="2:21" hidden="1">
      <c r="B545" s="1">
        <f t="shared" si="86"/>
        <v>541</v>
      </c>
      <c r="C545" s="2"/>
      <c r="D545" s="2" t="str">
        <f t="shared" si="81"/>
        <v/>
      </c>
      <c r="E545" s="1" t="str">
        <f t="shared" si="82"/>
        <v/>
      </c>
      <c r="F545" s="1" t="str">
        <f t="shared" si="83"/>
        <v/>
      </c>
      <c r="H545" s="1" t="str">
        <f>IFERROR((VLOOKUP(G545,Backdata!G:H,2,0)),"")</f>
        <v/>
      </c>
      <c r="M545" s="5"/>
      <c r="N545" s="3">
        <f t="shared" si="87"/>
        <v>0</v>
      </c>
      <c r="O545" s="5"/>
      <c r="P545" s="3">
        <f t="shared" si="88"/>
        <v>0</v>
      </c>
      <c r="Q545" s="3">
        <f t="shared" si="84"/>
        <v>0</v>
      </c>
      <c r="T545" s="27" t="str">
        <f t="shared" si="80"/>
        <v/>
      </c>
      <c r="U545" s="1" t="str">
        <f t="shared" si="85"/>
        <v/>
      </c>
    </row>
    <row r="546" spans="2:21" hidden="1">
      <c r="B546" s="1">
        <f t="shared" si="86"/>
        <v>542</v>
      </c>
      <c r="C546" s="2"/>
      <c r="D546" s="2" t="str">
        <f t="shared" si="81"/>
        <v/>
      </c>
      <c r="E546" s="1" t="str">
        <f t="shared" si="82"/>
        <v/>
      </c>
      <c r="F546" s="1" t="str">
        <f t="shared" si="83"/>
        <v/>
      </c>
      <c r="H546" s="1" t="str">
        <f>IFERROR((VLOOKUP(G546,Backdata!G:H,2,0)),"")</f>
        <v/>
      </c>
      <c r="M546" s="5"/>
      <c r="N546" s="3">
        <f t="shared" si="87"/>
        <v>0</v>
      </c>
      <c r="O546" s="5"/>
      <c r="P546" s="3">
        <f t="shared" si="88"/>
        <v>0</v>
      </c>
      <c r="Q546" s="3">
        <f t="shared" si="84"/>
        <v>0</v>
      </c>
      <c r="T546" s="27" t="str">
        <f t="shared" si="80"/>
        <v/>
      </c>
      <c r="U546" s="1" t="str">
        <f t="shared" si="85"/>
        <v/>
      </c>
    </row>
    <row r="547" spans="2:21" hidden="1">
      <c r="B547" s="1">
        <f t="shared" si="86"/>
        <v>543</v>
      </c>
      <c r="C547" s="2"/>
      <c r="D547" s="2" t="str">
        <f t="shared" si="81"/>
        <v/>
      </c>
      <c r="E547" s="1" t="str">
        <f t="shared" si="82"/>
        <v/>
      </c>
      <c r="F547" s="1" t="str">
        <f t="shared" si="83"/>
        <v/>
      </c>
      <c r="H547" s="1" t="str">
        <f>IFERROR((VLOOKUP(G547,Backdata!G:H,2,0)),"")</f>
        <v/>
      </c>
      <c r="M547" s="5"/>
      <c r="N547" s="3">
        <f t="shared" si="87"/>
        <v>0</v>
      </c>
      <c r="O547" s="5"/>
      <c r="P547" s="3">
        <f t="shared" si="88"/>
        <v>0</v>
      </c>
      <c r="Q547" s="3">
        <f t="shared" si="84"/>
        <v>0</v>
      </c>
      <c r="T547" s="27" t="str">
        <f t="shared" si="80"/>
        <v/>
      </c>
      <c r="U547" s="1" t="str">
        <f t="shared" si="85"/>
        <v/>
      </c>
    </row>
    <row r="548" spans="2:21" hidden="1">
      <c r="B548" s="1">
        <f t="shared" si="86"/>
        <v>544</v>
      </c>
      <c r="C548" s="2"/>
      <c r="D548" s="2" t="str">
        <f t="shared" si="81"/>
        <v/>
      </c>
      <c r="E548" s="1" t="str">
        <f t="shared" si="82"/>
        <v/>
      </c>
      <c r="F548" s="1" t="str">
        <f t="shared" si="83"/>
        <v/>
      </c>
      <c r="H548" s="1" t="str">
        <f>IFERROR((VLOOKUP(G548,Backdata!G:H,2,0)),"")</f>
        <v/>
      </c>
      <c r="M548" s="5"/>
      <c r="N548" s="3">
        <f t="shared" si="87"/>
        <v>0</v>
      </c>
      <c r="O548" s="5"/>
      <c r="P548" s="3">
        <f t="shared" si="88"/>
        <v>0</v>
      </c>
      <c r="Q548" s="3">
        <f t="shared" si="84"/>
        <v>0</v>
      </c>
      <c r="T548" s="27" t="str">
        <f t="shared" si="80"/>
        <v/>
      </c>
      <c r="U548" s="1" t="str">
        <f t="shared" si="85"/>
        <v/>
      </c>
    </row>
    <row r="549" spans="2:21" hidden="1">
      <c r="B549" s="1">
        <f t="shared" si="86"/>
        <v>545</v>
      </c>
      <c r="C549" s="2"/>
      <c r="D549" s="2" t="str">
        <f t="shared" si="81"/>
        <v/>
      </c>
      <c r="E549" s="1" t="str">
        <f t="shared" si="82"/>
        <v/>
      </c>
      <c r="F549" s="1" t="str">
        <f t="shared" si="83"/>
        <v/>
      </c>
      <c r="H549" s="1" t="str">
        <f>IFERROR((VLOOKUP(G549,Backdata!G:H,2,0)),"")</f>
        <v/>
      </c>
      <c r="M549" s="5"/>
      <c r="N549" s="3">
        <f t="shared" si="87"/>
        <v>0</v>
      </c>
      <c r="O549" s="5"/>
      <c r="P549" s="3">
        <f t="shared" si="88"/>
        <v>0</v>
      </c>
      <c r="Q549" s="3">
        <f t="shared" si="84"/>
        <v>0</v>
      </c>
      <c r="T549" s="27" t="str">
        <f t="shared" si="80"/>
        <v/>
      </c>
      <c r="U549" s="1" t="str">
        <f t="shared" si="85"/>
        <v/>
      </c>
    </row>
    <row r="550" spans="2:21" hidden="1">
      <c r="B550" s="1">
        <f t="shared" si="86"/>
        <v>546</v>
      </c>
      <c r="C550" s="2"/>
      <c r="D550" s="2" t="str">
        <f t="shared" si="81"/>
        <v/>
      </c>
      <c r="E550" s="1" t="str">
        <f t="shared" si="82"/>
        <v/>
      </c>
      <c r="F550" s="1" t="str">
        <f t="shared" si="83"/>
        <v/>
      </c>
      <c r="H550" s="1" t="str">
        <f>IFERROR((VLOOKUP(G550,Backdata!G:H,2,0)),"")</f>
        <v/>
      </c>
      <c r="M550" s="5"/>
      <c r="N550" s="3">
        <f t="shared" si="87"/>
        <v>0</v>
      </c>
      <c r="O550" s="5"/>
      <c r="P550" s="3">
        <f t="shared" si="88"/>
        <v>0</v>
      </c>
      <c r="Q550" s="3">
        <f t="shared" si="84"/>
        <v>0</v>
      </c>
      <c r="T550" s="27" t="str">
        <f t="shared" si="80"/>
        <v/>
      </c>
      <c r="U550" s="1" t="str">
        <f t="shared" si="85"/>
        <v/>
      </c>
    </row>
    <row r="551" spans="2:21" hidden="1">
      <c r="B551" s="1">
        <f t="shared" si="86"/>
        <v>547</v>
      </c>
      <c r="C551" s="2"/>
      <c r="D551" s="2" t="str">
        <f t="shared" si="81"/>
        <v/>
      </c>
      <c r="E551" s="1" t="str">
        <f t="shared" si="82"/>
        <v/>
      </c>
      <c r="F551" s="1" t="str">
        <f t="shared" si="83"/>
        <v/>
      </c>
      <c r="H551" s="1" t="str">
        <f>IFERROR((VLOOKUP(G551,Backdata!G:H,2,0)),"")</f>
        <v/>
      </c>
      <c r="M551" s="5"/>
      <c r="N551" s="3">
        <f t="shared" si="87"/>
        <v>0</v>
      </c>
      <c r="O551" s="5"/>
      <c r="P551" s="3">
        <f t="shared" si="88"/>
        <v>0</v>
      </c>
      <c r="Q551" s="3">
        <f t="shared" si="84"/>
        <v>0</v>
      </c>
      <c r="T551" s="27" t="str">
        <f t="shared" si="80"/>
        <v/>
      </c>
      <c r="U551" s="1" t="str">
        <f t="shared" si="85"/>
        <v/>
      </c>
    </row>
    <row r="552" spans="2:21" hidden="1">
      <c r="B552" s="1">
        <f t="shared" si="86"/>
        <v>548</v>
      </c>
      <c r="C552" s="2"/>
      <c r="D552" s="2" t="str">
        <f t="shared" si="81"/>
        <v/>
      </c>
      <c r="E552" s="1" t="str">
        <f t="shared" si="82"/>
        <v/>
      </c>
      <c r="F552" s="1" t="str">
        <f t="shared" si="83"/>
        <v/>
      </c>
      <c r="H552" s="1" t="str">
        <f>IFERROR((VLOOKUP(G552,Backdata!G:H,2,0)),"")</f>
        <v/>
      </c>
      <c r="M552" s="5"/>
      <c r="N552" s="3">
        <f t="shared" si="87"/>
        <v>0</v>
      </c>
      <c r="O552" s="5"/>
      <c r="P552" s="3">
        <f t="shared" si="88"/>
        <v>0</v>
      </c>
      <c r="Q552" s="3">
        <f t="shared" si="84"/>
        <v>0</v>
      </c>
      <c r="T552" s="27" t="str">
        <f t="shared" si="80"/>
        <v/>
      </c>
      <c r="U552" s="1" t="str">
        <f t="shared" si="85"/>
        <v/>
      </c>
    </row>
    <row r="553" spans="2:21" hidden="1">
      <c r="B553" s="1">
        <f t="shared" si="86"/>
        <v>549</v>
      </c>
      <c r="C553" s="2"/>
      <c r="D553" s="2" t="str">
        <f t="shared" si="81"/>
        <v/>
      </c>
      <c r="E553" s="1" t="str">
        <f t="shared" si="82"/>
        <v/>
      </c>
      <c r="F553" s="1" t="str">
        <f t="shared" si="83"/>
        <v/>
      </c>
      <c r="H553" s="1" t="str">
        <f>IFERROR((VLOOKUP(G553,Backdata!G:H,2,0)),"")</f>
        <v/>
      </c>
      <c r="M553" s="5"/>
      <c r="N553" s="3">
        <f t="shared" si="87"/>
        <v>0</v>
      </c>
      <c r="O553" s="5"/>
      <c r="P553" s="3">
        <f t="shared" si="88"/>
        <v>0</v>
      </c>
      <c r="Q553" s="3">
        <f t="shared" si="84"/>
        <v>0</v>
      </c>
      <c r="T553" s="27" t="str">
        <f t="shared" si="80"/>
        <v/>
      </c>
      <c r="U553" s="1" t="str">
        <f t="shared" si="85"/>
        <v/>
      </c>
    </row>
    <row r="554" spans="2:21" hidden="1">
      <c r="B554" s="1">
        <f t="shared" si="86"/>
        <v>550</v>
      </c>
      <c r="C554" s="2"/>
      <c r="D554" s="2" t="str">
        <f t="shared" si="81"/>
        <v/>
      </c>
      <c r="E554" s="1" t="str">
        <f t="shared" si="82"/>
        <v/>
      </c>
      <c r="F554" s="1" t="str">
        <f t="shared" si="83"/>
        <v/>
      </c>
      <c r="H554" s="1" t="str">
        <f>IFERROR((VLOOKUP(G554,Backdata!G:H,2,0)),"")</f>
        <v/>
      </c>
      <c r="M554" s="5"/>
      <c r="N554" s="3">
        <f t="shared" si="87"/>
        <v>0</v>
      </c>
      <c r="O554" s="5"/>
      <c r="P554" s="3">
        <f t="shared" si="88"/>
        <v>0</v>
      </c>
      <c r="Q554" s="3">
        <f t="shared" si="84"/>
        <v>0</v>
      </c>
      <c r="T554" s="27" t="str">
        <f t="shared" si="80"/>
        <v/>
      </c>
      <c r="U554" s="1" t="str">
        <f t="shared" si="85"/>
        <v/>
      </c>
    </row>
    <row r="555" spans="2:21" hidden="1">
      <c r="B555" s="1">
        <f t="shared" si="86"/>
        <v>551</v>
      </c>
      <c r="C555" s="2"/>
      <c r="D555" s="2" t="str">
        <f t="shared" si="81"/>
        <v/>
      </c>
      <c r="E555" s="1" t="str">
        <f t="shared" si="82"/>
        <v/>
      </c>
      <c r="F555" s="1" t="str">
        <f t="shared" si="83"/>
        <v/>
      </c>
      <c r="H555" s="1" t="str">
        <f>IFERROR((VLOOKUP(G555,Backdata!G:H,2,0)),"")</f>
        <v/>
      </c>
      <c r="M555" s="5"/>
      <c r="N555" s="3">
        <f t="shared" si="87"/>
        <v>0</v>
      </c>
      <c r="O555" s="5"/>
      <c r="P555" s="3">
        <f t="shared" si="88"/>
        <v>0</v>
      </c>
      <c r="Q555" s="3">
        <f t="shared" si="84"/>
        <v>0</v>
      </c>
      <c r="T555" s="27" t="str">
        <f t="shared" si="80"/>
        <v/>
      </c>
      <c r="U555" s="1" t="str">
        <f t="shared" si="85"/>
        <v/>
      </c>
    </row>
    <row r="556" spans="2:21" hidden="1">
      <c r="B556" s="1">
        <f t="shared" si="86"/>
        <v>552</v>
      </c>
      <c r="C556" s="2"/>
      <c r="D556" s="2" t="str">
        <f t="shared" si="81"/>
        <v/>
      </c>
      <c r="E556" s="1" t="str">
        <f t="shared" si="82"/>
        <v/>
      </c>
      <c r="F556" s="1" t="str">
        <f t="shared" si="83"/>
        <v/>
      </c>
      <c r="H556" s="1" t="str">
        <f>IFERROR((VLOOKUP(G556,Backdata!G:H,2,0)),"")</f>
        <v/>
      </c>
      <c r="M556" s="5"/>
      <c r="N556" s="3">
        <f t="shared" si="87"/>
        <v>0</v>
      </c>
      <c r="O556" s="5"/>
      <c r="P556" s="3">
        <f t="shared" si="88"/>
        <v>0</v>
      </c>
      <c r="Q556" s="3">
        <f t="shared" si="84"/>
        <v>0</v>
      </c>
      <c r="T556" s="27" t="str">
        <f t="shared" si="80"/>
        <v/>
      </c>
      <c r="U556" s="1" t="str">
        <f t="shared" si="85"/>
        <v/>
      </c>
    </row>
    <row r="557" spans="2:21" hidden="1">
      <c r="B557" s="1">
        <f t="shared" si="86"/>
        <v>553</v>
      </c>
      <c r="C557" s="2"/>
      <c r="D557" s="2" t="str">
        <f t="shared" si="81"/>
        <v/>
      </c>
      <c r="E557" s="1" t="str">
        <f t="shared" si="82"/>
        <v/>
      </c>
      <c r="F557" s="1" t="str">
        <f t="shared" si="83"/>
        <v/>
      </c>
      <c r="H557" s="1" t="str">
        <f>IFERROR((VLOOKUP(G557,Backdata!G:H,2,0)),"")</f>
        <v/>
      </c>
      <c r="M557" s="5"/>
      <c r="N557" s="3">
        <f t="shared" si="87"/>
        <v>0</v>
      </c>
      <c r="O557" s="5"/>
      <c r="P557" s="3">
        <f t="shared" si="88"/>
        <v>0</v>
      </c>
      <c r="Q557" s="3">
        <f t="shared" si="84"/>
        <v>0</v>
      </c>
      <c r="T557" s="27" t="str">
        <f t="shared" si="80"/>
        <v/>
      </c>
      <c r="U557" s="1" t="str">
        <f t="shared" si="85"/>
        <v/>
      </c>
    </row>
    <row r="558" spans="2:21" hidden="1">
      <c r="B558" s="1">
        <f t="shared" si="86"/>
        <v>554</v>
      </c>
      <c r="C558" s="2"/>
      <c r="D558" s="2" t="str">
        <f t="shared" si="81"/>
        <v/>
      </c>
      <c r="E558" s="1" t="str">
        <f t="shared" si="82"/>
        <v/>
      </c>
      <c r="F558" s="1" t="str">
        <f t="shared" si="83"/>
        <v/>
      </c>
      <c r="H558" s="1" t="str">
        <f>IFERROR((VLOOKUP(G558,Backdata!G:H,2,0)),"")</f>
        <v/>
      </c>
      <c r="M558" s="5"/>
      <c r="N558" s="3">
        <f t="shared" si="87"/>
        <v>0</v>
      </c>
      <c r="O558" s="5"/>
      <c r="P558" s="3">
        <f t="shared" si="88"/>
        <v>0</v>
      </c>
      <c r="Q558" s="3">
        <f t="shared" si="84"/>
        <v>0</v>
      </c>
      <c r="T558" s="27" t="str">
        <f t="shared" si="80"/>
        <v/>
      </c>
      <c r="U558" s="1" t="str">
        <f t="shared" si="85"/>
        <v/>
      </c>
    </row>
    <row r="559" spans="2:21" hidden="1">
      <c r="B559" s="1">
        <f t="shared" si="86"/>
        <v>555</v>
      </c>
      <c r="C559" s="2"/>
      <c r="D559" s="2" t="str">
        <f t="shared" si="81"/>
        <v/>
      </c>
      <c r="E559" s="1" t="str">
        <f t="shared" si="82"/>
        <v/>
      </c>
      <c r="F559" s="1" t="str">
        <f t="shared" si="83"/>
        <v/>
      </c>
      <c r="H559" s="1" t="str">
        <f>IFERROR((VLOOKUP(G559,Backdata!G:H,2,0)),"")</f>
        <v/>
      </c>
      <c r="M559" s="5"/>
      <c r="N559" s="3">
        <f t="shared" si="87"/>
        <v>0</v>
      </c>
      <c r="O559" s="5"/>
      <c r="P559" s="3">
        <f t="shared" si="88"/>
        <v>0</v>
      </c>
      <c r="Q559" s="3">
        <f t="shared" si="84"/>
        <v>0</v>
      </c>
      <c r="T559" s="27" t="str">
        <f t="shared" si="80"/>
        <v/>
      </c>
      <c r="U559" s="1" t="str">
        <f t="shared" si="85"/>
        <v/>
      </c>
    </row>
    <row r="560" spans="2:21" hidden="1">
      <c r="B560" s="1">
        <f t="shared" si="86"/>
        <v>556</v>
      </c>
      <c r="C560" s="2"/>
      <c r="D560" s="2" t="str">
        <f t="shared" si="81"/>
        <v/>
      </c>
      <c r="E560" s="1" t="str">
        <f t="shared" si="82"/>
        <v/>
      </c>
      <c r="F560" s="1" t="str">
        <f t="shared" si="83"/>
        <v/>
      </c>
      <c r="H560" s="1" t="str">
        <f>IFERROR((VLOOKUP(G560,Backdata!G:H,2,0)),"")</f>
        <v/>
      </c>
      <c r="M560" s="5"/>
      <c r="N560" s="3">
        <f t="shared" si="87"/>
        <v>0</v>
      </c>
      <c r="O560" s="5"/>
      <c r="P560" s="3">
        <f t="shared" si="88"/>
        <v>0</v>
      </c>
      <c r="Q560" s="3">
        <f t="shared" si="84"/>
        <v>0</v>
      </c>
      <c r="T560" s="27" t="str">
        <f t="shared" si="80"/>
        <v/>
      </c>
      <c r="U560" s="1" t="str">
        <f t="shared" si="85"/>
        <v/>
      </c>
    </row>
    <row r="561" spans="2:21" hidden="1">
      <c r="B561" s="1">
        <f t="shared" si="86"/>
        <v>557</v>
      </c>
      <c r="C561" s="2"/>
      <c r="D561" s="2" t="str">
        <f t="shared" si="81"/>
        <v/>
      </c>
      <c r="E561" s="1" t="str">
        <f t="shared" si="82"/>
        <v/>
      </c>
      <c r="F561" s="1" t="str">
        <f t="shared" si="83"/>
        <v/>
      </c>
      <c r="H561" s="1" t="str">
        <f>IFERROR((VLOOKUP(G561,Backdata!G:H,2,0)),"")</f>
        <v/>
      </c>
      <c r="M561" s="5"/>
      <c r="N561" s="3">
        <f t="shared" si="87"/>
        <v>0</v>
      </c>
      <c r="O561" s="5"/>
      <c r="P561" s="3">
        <f t="shared" si="88"/>
        <v>0</v>
      </c>
      <c r="Q561" s="3">
        <f t="shared" si="84"/>
        <v>0</v>
      </c>
      <c r="T561" s="27" t="str">
        <f t="shared" si="80"/>
        <v/>
      </c>
      <c r="U561" s="1" t="str">
        <f t="shared" si="85"/>
        <v/>
      </c>
    </row>
    <row r="562" spans="2:21" hidden="1">
      <c r="B562" s="1">
        <f t="shared" si="86"/>
        <v>558</v>
      </c>
      <c r="C562" s="2"/>
      <c r="D562" s="2" t="str">
        <f t="shared" si="81"/>
        <v/>
      </c>
      <c r="E562" s="1" t="str">
        <f t="shared" si="82"/>
        <v/>
      </c>
      <c r="F562" s="1" t="str">
        <f t="shared" si="83"/>
        <v/>
      </c>
      <c r="H562" s="1" t="str">
        <f>IFERROR((VLOOKUP(G562,Backdata!G:H,2,0)),"")</f>
        <v/>
      </c>
      <c r="M562" s="5"/>
      <c r="N562" s="3">
        <f t="shared" si="87"/>
        <v>0</v>
      </c>
      <c r="O562" s="5"/>
      <c r="P562" s="3">
        <f t="shared" si="88"/>
        <v>0</v>
      </c>
      <c r="Q562" s="3">
        <f t="shared" si="84"/>
        <v>0</v>
      </c>
      <c r="T562" s="27" t="str">
        <f t="shared" si="80"/>
        <v/>
      </c>
      <c r="U562" s="1" t="str">
        <f t="shared" si="85"/>
        <v/>
      </c>
    </row>
    <row r="563" spans="2:21" hidden="1">
      <c r="B563" s="1">
        <f t="shared" si="86"/>
        <v>559</v>
      </c>
      <c r="C563" s="2"/>
      <c r="D563" s="2" t="str">
        <f t="shared" si="81"/>
        <v/>
      </c>
      <c r="E563" s="1" t="str">
        <f t="shared" si="82"/>
        <v/>
      </c>
      <c r="F563" s="1" t="str">
        <f t="shared" si="83"/>
        <v/>
      </c>
      <c r="H563" s="1" t="str">
        <f>IFERROR((VLOOKUP(G563,Backdata!G:H,2,0)),"")</f>
        <v/>
      </c>
      <c r="M563" s="5"/>
      <c r="N563" s="3">
        <f t="shared" si="87"/>
        <v>0</v>
      </c>
      <c r="O563" s="5"/>
      <c r="P563" s="3">
        <f t="shared" si="88"/>
        <v>0</v>
      </c>
      <c r="Q563" s="3">
        <f t="shared" si="84"/>
        <v>0</v>
      </c>
      <c r="T563" s="27" t="str">
        <f t="shared" si="80"/>
        <v/>
      </c>
      <c r="U563" s="1" t="str">
        <f t="shared" si="85"/>
        <v/>
      </c>
    </row>
    <row r="564" spans="2:21" hidden="1">
      <c r="B564" s="1">
        <f t="shared" si="86"/>
        <v>560</v>
      </c>
      <c r="C564" s="2"/>
      <c r="D564" s="2" t="str">
        <f t="shared" si="81"/>
        <v/>
      </c>
      <c r="E564" s="1" t="str">
        <f t="shared" si="82"/>
        <v/>
      </c>
      <c r="F564" s="1" t="str">
        <f t="shared" si="83"/>
        <v/>
      </c>
      <c r="H564" s="1" t="str">
        <f>IFERROR((VLOOKUP(G564,Backdata!G:H,2,0)),"")</f>
        <v/>
      </c>
      <c r="M564" s="5"/>
      <c r="N564" s="3">
        <f t="shared" si="87"/>
        <v>0</v>
      </c>
      <c r="O564" s="5"/>
      <c r="P564" s="3">
        <f t="shared" si="88"/>
        <v>0</v>
      </c>
      <c r="Q564" s="3">
        <f t="shared" si="84"/>
        <v>0</v>
      </c>
      <c r="T564" s="27" t="str">
        <f t="shared" si="80"/>
        <v/>
      </c>
      <c r="U564" s="1" t="str">
        <f t="shared" si="85"/>
        <v/>
      </c>
    </row>
    <row r="565" spans="2:21" hidden="1">
      <c r="B565" s="1">
        <f t="shared" si="86"/>
        <v>561</v>
      </c>
      <c r="C565" s="2"/>
      <c r="D565" s="2" t="str">
        <f t="shared" si="81"/>
        <v/>
      </c>
      <c r="E565" s="1" t="str">
        <f t="shared" si="82"/>
        <v/>
      </c>
      <c r="F565" s="1" t="str">
        <f t="shared" si="83"/>
        <v/>
      </c>
      <c r="H565" s="1" t="str">
        <f>IFERROR((VLOOKUP(G565,Backdata!G:H,2,0)),"")</f>
        <v/>
      </c>
      <c r="M565" s="5"/>
      <c r="N565" s="3">
        <f t="shared" si="87"/>
        <v>0</v>
      </c>
      <c r="O565" s="5"/>
      <c r="P565" s="3">
        <f t="shared" si="88"/>
        <v>0</v>
      </c>
      <c r="Q565" s="3">
        <f t="shared" si="84"/>
        <v>0</v>
      </c>
      <c r="T565" s="27" t="str">
        <f t="shared" si="80"/>
        <v/>
      </c>
      <c r="U565" s="1" t="str">
        <f t="shared" si="85"/>
        <v/>
      </c>
    </row>
    <row r="566" spans="2:21" hidden="1">
      <c r="B566" s="1">
        <f t="shared" si="86"/>
        <v>562</v>
      </c>
      <c r="C566" s="2"/>
      <c r="D566" s="2" t="str">
        <f t="shared" si="81"/>
        <v/>
      </c>
      <c r="E566" s="1" t="str">
        <f t="shared" si="82"/>
        <v/>
      </c>
      <c r="F566" s="1" t="str">
        <f t="shared" si="83"/>
        <v/>
      </c>
      <c r="H566" s="1" t="str">
        <f>IFERROR((VLOOKUP(G566,Backdata!G:H,2,0)),"")</f>
        <v/>
      </c>
      <c r="M566" s="5"/>
      <c r="N566" s="3">
        <f t="shared" si="87"/>
        <v>0</v>
      </c>
      <c r="O566" s="5"/>
      <c r="P566" s="3">
        <f t="shared" si="88"/>
        <v>0</v>
      </c>
      <c r="Q566" s="3">
        <f t="shared" si="84"/>
        <v>0</v>
      </c>
      <c r="T566" s="27" t="str">
        <f t="shared" si="80"/>
        <v/>
      </c>
      <c r="U566" s="1" t="str">
        <f t="shared" si="85"/>
        <v/>
      </c>
    </row>
    <row r="567" spans="2:21" hidden="1">
      <c r="B567" s="1">
        <f t="shared" si="86"/>
        <v>563</v>
      </c>
      <c r="C567" s="2"/>
      <c r="D567" s="2" t="str">
        <f t="shared" si="81"/>
        <v/>
      </c>
      <c r="E567" s="1" t="str">
        <f t="shared" si="82"/>
        <v/>
      </c>
      <c r="F567" s="1" t="str">
        <f t="shared" si="83"/>
        <v/>
      </c>
      <c r="H567" s="1" t="str">
        <f>IFERROR((VLOOKUP(G567,Backdata!G:H,2,0)),"")</f>
        <v/>
      </c>
      <c r="M567" s="5"/>
      <c r="N567" s="3">
        <f t="shared" si="87"/>
        <v>0</v>
      </c>
      <c r="O567" s="5"/>
      <c r="P567" s="3">
        <f t="shared" si="88"/>
        <v>0</v>
      </c>
      <c r="Q567" s="3">
        <f t="shared" si="84"/>
        <v>0</v>
      </c>
      <c r="T567" s="27" t="str">
        <f t="shared" si="80"/>
        <v/>
      </c>
      <c r="U567" s="1" t="str">
        <f t="shared" si="85"/>
        <v/>
      </c>
    </row>
    <row r="568" spans="2:21" hidden="1">
      <c r="B568" s="1">
        <f t="shared" si="86"/>
        <v>564</v>
      </c>
      <c r="C568" s="2"/>
      <c r="D568" s="2" t="str">
        <f t="shared" si="81"/>
        <v/>
      </c>
      <c r="E568" s="1" t="str">
        <f t="shared" si="82"/>
        <v/>
      </c>
      <c r="F568" s="1" t="str">
        <f t="shared" si="83"/>
        <v/>
      </c>
      <c r="H568" s="1" t="str">
        <f>IFERROR((VLOOKUP(G568,Backdata!G:H,2,0)),"")</f>
        <v/>
      </c>
      <c r="M568" s="5"/>
      <c r="N568" s="3">
        <f t="shared" si="87"/>
        <v>0</v>
      </c>
      <c r="O568" s="5"/>
      <c r="P568" s="3">
        <f t="shared" si="88"/>
        <v>0</v>
      </c>
      <c r="Q568" s="3">
        <f t="shared" si="84"/>
        <v>0</v>
      </c>
      <c r="T568" s="27" t="str">
        <f t="shared" si="80"/>
        <v/>
      </c>
      <c r="U568" s="1" t="str">
        <f t="shared" si="85"/>
        <v/>
      </c>
    </row>
    <row r="569" spans="2:21" hidden="1">
      <c r="B569" s="1">
        <f t="shared" si="86"/>
        <v>565</v>
      </c>
      <c r="C569" s="2"/>
      <c r="D569" s="2" t="str">
        <f t="shared" si="81"/>
        <v/>
      </c>
      <c r="E569" s="1" t="str">
        <f t="shared" si="82"/>
        <v/>
      </c>
      <c r="F569" s="1" t="str">
        <f t="shared" si="83"/>
        <v/>
      </c>
      <c r="H569" s="1" t="str">
        <f>IFERROR((VLOOKUP(G569,Backdata!G:H,2,0)),"")</f>
        <v/>
      </c>
      <c r="M569" s="5"/>
      <c r="N569" s="3">
        <f t="shared" si="87"/>
        <v>0</v>
      </c>
      <c r="O569" s="5"/>
      <c r="P569" s="3">
        <f t="shared" si="88"/>
        <v>0</v>
      </c>
      <c r="Q569" s="3">
        <f t="shared" si="84"/>
        <v>0</v>
      </c>
      <c r="T569" s="27" t="str">
        <f t="shared" ref="T569:T632" si="89">IF(OR(I569="타이어",I569=""),"",C569)</f>
        <v/>
      </c>
      <c r="U569" s="1" t="str">
        <f t="shared" si="85"/>
        <v/>
      </c>
    </row>
    <row r="570" spans="2:21" hidden="1">
      <c r="B570" s="1">
        <f t="shared" si="86"/>
        <v>566</v>
      </c>
      <c r="C570" s="2"/>
      <c r="D570" s="2" t="str">
        <f t="shared" si="81"/>
        <v/>
      </c>
      <c r="E570" s="1" t="str">
        <f t="shared" si="82"/>
        <v/>
      </c>
      <c r="F570" s="1" t="str">
        <f t="shared" si="83"/>
        <v/>
      </c>
      <c r="H570" s="1" t="str">
        <f>IFERROR((VLOOKUP(G570,Backdata!G:H,2,0)),"")</f>
        <v/>
      </c>
      <c r="M570" s="5"/>
      <c r="N570" s="3">
        <f t="shared" si="87"/>
        <v>0</v>
      </c>
      <c r="O570" s="5"/>
      <c r="P570" s="3">
        <f t="shared" si="88"/>
        <v>0</v>
      </c>
      <c r="Q570" s="3">
        <f t="shared" si="84"/>
        <v>0</v>
      </c>
      <c r="T570" s="27" t="str">
        <f t="shared" si="89"/>
        <v/>
      </c>
      <c r="U570" s="1" t="str">
        <f t="shared" si="85"/>
        <v/>
      </c>
    </row>
    <row r="571" spans="2:21" hidden="1">
      <c r="B571" s="1">
        <f t="shared" si="86"/>
        <v>567</v>
      </c>
      <c r="C571" s="2"/>
      <c r="D571" s="2" t="str">
        <f t="shared" si="81"/>
        <v/>
      </c>
      <c r="E571" s="1" t="str">
        <f t="shared" si="82"/>
        <v/>
      </c>
      <c r="F571" s="1" t="str">
        <f t="shared" si="83"/>
        <v/>
      </c>
      <c r="H571" s="1" t="str">
        <f>IFERROR((VLOOKUP(G571,Backdata!G:H,2,0)),"")</f>
        <v/>
      </c>
      <c r="M571" s="5"/>
      <c r="N571" s="3">
        <f t="shared" si="87"/>
        <v>0</v>
      </c>
      <c r="O571" s="5"/>
      <c r="P571" s="3">
        <f t="shared" si="88"/>
        <v>0</v>
      </c>
      <c r="Q571" s="3">
        <f t="shared" si="84"/>
        <v>0</v>
      </c>
      <c r="T571" s="27" t="str">
        <f t="shared" si="89"/>
        <v/>
      </c>
      <c r="U571" s="1" t="str">
        <f t="shared" si="85"/>
        <v/>
      </c>
    </row>
    <row r="572" spans="2:21" hidden="1">
      <c r="B572" s="1">
        <f t="shared" si="86"/>
        <v>568</v>
      </c>
      <c r="C572" s="2"/>
      <c r="D572" s="2" t="str">
        <f t="shared" si="81"/>
        <v/>
      </c>
      <c r="E572" s="1" t="str">
        <f t="shared" si="82"/>
        <v/>
      </c>
      <c r="F572" s="1" t="str">
        <f t="shared" si="83"/>
        <v/>
      </c>
      <c r="H572" s="1" t="str">
        <f>IFERROR((VLOOKUP(G572,Backdata!G:H,2,0)),"")</f>
        <v/>
      </c>
      <c r="M572" s="5"/>
      <c r="N572" s="3">
        <f t="shared" si="87"/>
        <v>0</v>
      </c>
      <c r="O572" s="5"/>
      <c r="P572" s="3">
        <f t="shared" si="88"/>
        <v>0</v>
      </c>
      <c r="Q572" s="3">
        <f t="shared" si="84"/>
        <v>0</v>
      </c>
      <c r="T572" s="27" t="str">
        <f t="shared" si="89"/>
        <v/>
      </c>
      <c r="U572" s="1" t="str">
        <f t="shared" si="85"/>
        <v/>
      </c>
    </row>
    <row r="573" spans="2:21" hidden="1">
      <c r="B573" s="1">
        <f t="shared" si="86"/>
        <v>569</v>
      </c>
      <c r="C573" s="2"/>
      <c r="D573" s="2" t="str">
        <f t="shared" si="81"/>
        <v/>
      </c>
      <c r="E573" s="1" t="str">
        <f t="shared" si="82"/>
        <v/>
      </c>
      <c r="F573" s="1" t="str">
        <f t="shared" si="83"/>
        <v/>
      </c>
      <c r="H573" s="1" t="str">
        <f>IFERROR((VLOOKUP(G573,Backdata!G:H,2,0)),"")</f>
        <v/>
      </c>
      <c r="M573" s="5"/>
      <c r="N573" s="3">
        <f t="shared" si="87"/>
        <v>0</v>
      </c>
      <c r="O573" s="5"/>
      <c r="P573" s="3">
        <f t="shared" si="88"/>
        <v>0</v>
      </c>
      <c r="Q573" s="3">
        <f t="shared" si="84"/>
        <v>0</v>
      </c>
      <c r="T573" s="27" t="str">
        <f t="shared" si="89"/>
        <v/>
      </c>
      <c r="U573" s="1" t="str">
        <f t="shared" si="85"/>
        <v/>
      </c>
    </row>
    <row r="574" spans="2:21" hidden="1">
      <c r="B574" s="1">
        <f t="shared" si="86"/>
        <v>570</v>
      </c>
      <c r="C574" s="2"/>
      <c r="D574" s="2" t="str">
        <f t="shared" si="81"/>
        <v/>
      </c>
      <c r="E574" s="1" t="str">
        <f t="shared" si="82"/>
        <v/>
      </c>
      <c r="F574" s="1" t="str">
        <f t="shared" si="83"/>
        <v/>
      </c>
      <c r="H574" s="1" t="str">
        <f>IFERROR((VLOOKUP(G574,Backdata!G:H,2,0)),"")</f>
        <v/>
      </c>
      <c r="M574" s="5"/>
      <c r="N574" s="3">
        <f t="shared" si="87"/>
        <v>0</v>
      </c>
      <c r="O574" s="5"/>
      <c r="P574" s="3">
        <f t="shared" si="88"/>
        <v>0</v>
      </c>
      <c r="Q574" s="3">
        <f t="shared" si="84"/>
        <v>0</v>
      </c>
      <c r="T574" s="27" t="str">
        <f t="shared" si="89"/>
        <v/>
      </c>
      <c r="U574" s="1" t="str">
        <f t="shared" si="85"/>
        <v/>
      </c>
    </row>
    <row r="575" spans="2:21" hidden="1">
      <c r="B575" s="1">
        <f t="shared" si="86"/>
        <v>571</v>
      </c>
      <c r="C575" s="2"/>
      <c r="D575" s="2" t="str">
        <f t="shared" si="81"/>
        <v/>
      </c>
      <c r="E575" s="1" t="str">
        <f t="shared" si="82"/>
        <v/>
      </c>
      <c r="F575" s="1" t="str">
        <f t="shared" si="83"/>
        <v/>
      </c>
      <c r="H575" s="1" t="str">
        <f>IFERROR((VLOOKUP(G575,Backdata!G:H,2,0)),"")</f>
        <v/>
      </c>
      <c r="M575" s="5"/>
      <c r="N575" s="3">
        <f t="shared" si="87"/>
        <v>0</v>
      </c>
      <c r="O575" s="5"/>
      <c r="P575" s="3">
        <f t="shared" si="88"/>
        <v>0</v>
      </c>
      <c r="Q575" s="3">
        <f t="shared" si="84"/>
        <v>0</v>
      </c>
      <c r="T575" s="27" t="str">
        <f t="shared" si="89"/>
        <v/>
      </c>
      <c r="U575" s="1" t="str">
        <f t="shared" si="85"/>
        <v/>
      </c>
    </row>
    <row r="576" spans="2:21" hidden="1">
      <c r="B576" s="1">
        <f t="shared" si="86"/>
        <v>572</v>
      </c>
      <c r="C576" s="2"/>
      <c r="D576" s="2" t="str">
        <f t="shared" si="81"/>
        <v/>
      </c>
      <c r="E576" s="1" t="str">
        <f t="shared" si="82"/>
        <v/>
      </c>
      <c r="F576" s="1" t="str">
        <f t="shared" si="83"/>
        <v/>
      </c>
      <c r="H576" s="1" t="str">
        <f>IFERROR((VLOOKUP(G576,Backdata!G:H,2,0)),"")</f>
        <v/>
      </c>
      <c r="M576" s="5"/>
      <c r="N576" s="3">
        <f t="shared" si="87"/>
        <v>0</v>
      </c>
      <c r="O576" s="5"/>
      <c r="P576" s="3">
        <f t="shared" si="88"/>
        <v>0</v>
      </c>
      <c r="Q576" s="3">
        <f t="shared" si="84"/>
        <v>0</v>
      </c>
      <c r="T576" s="27" t="str">
        <f t="shared" si="89"/>
        <v/>
      </c>
      <c r="U576" s="1" t="str">
        <f t="shared" si="85"/>
        <v/>
      </c>
    </row>
    <row r="577" spans="2:21" hidden="1">
      <c r="B577" s="1">
        <f t="shared" si="86"/>
        <v>573</v>
      </c>
      <c r="C577" s="2"/>
      <c r="D577" s="2" t="str">
        <f t="shared" si="81"/>
        <v/>
      </c>
      <c r="E577" s="1" t="str">
        <f t="shared" si="82"/>
        <v/>
      </c>
      <c r="F577" s="1" t="str">
        <f t="shared" si="83"/>
        <v/>
      </c>
      <c r="H577" s="1" t="str">
        <f>IFERROR((VLOOKUP(G577,Backdata!G:H,2,0)),"")</f>
        <v/>
      </c>
      <c r="M577" s="5"/>
      <c r="N577" s="3">
        <f t="shared" si="87"/>
        <v>0</v>
      </c>
      <c r="O577" s="5"/>
      <c r="P577" s="3">
        <f t="shared" si="88"/>
        <v>0</v>
      </c>
      <c r="Q577" s="3">
        <f t="shared" si="84"/>
        <v>0</v>
      </c>
      <c r="T577" s="27" t="str">
        <f t="shared" si="89"/>
        <v/>
      </c>
      <c r="U577" s="1" t="str">
        <f t="shared" si="85"/>
        <v/>
      </c>
    </row>
    <row r="578" spans="2:21" hidden="1">
      <c r="B578" s="1">
        <f t="shared" si="86"/>
        <v>574</v>
      </c>
      <c r="C578" s="2"/>
      <c r="D578" s="2" t="str">
        <f t="shared" si="81"/>
        <v/>
      </c>
      <c r="E578" s="1" t="str">
        <f t="shared" si="82"/>
        <v/>
      </c>
      <c r="F578" s="1" t="str">
        <f t="shared" si="83"/>
        <v/>
      </c>
      <c r="H578" s="1" t="str">
        <f>IFERROR((VLOOKUP(G578,Backdata!G:H,2,0)),"")</f>
        <v/>
      </c>
      <c r="M578" s="5"/>
      <c r="N578" s="3">
        <f t="shared" si="87"/>
        <v>0</v>
      </c>
      <c r="O578" s="5"/>
      <c r="P578" s="3">
        <f t="shared" si="88"/>
        <v>0</v>
      </c>
      <c r="Q578" s="3">
        <f t="shared" si="84"/>
        <v>0</v>
      </c>
      <c r="T578" s="27" t="str">
        <f t="shared" si="89"/>
        <v/>
      </c>
      <c r="U578" s="1" t="str">
        <f t="shared" si="85"/>
        <v/>
      </c>
    </row>
    <row r="579" spans="2:21" hidden="1">
      <c r="B579" s="1">
        <f t="shared" si="86"/>
        <v>575</v>
      </c>
      <c r="C579" s="2"/>
      <c r="D579" s="2" t="str">
        <f t="shared" si="81"/>
        <v/>
      </c>
      <c r="E579" s="1" t="str">
        <f t="shared" si="82"/>
        <v/>
      </c>
      <c r="F579" s="1" t="str">
        <f t="shared" si="83"/>
        <v/>
      </c>
      <c r="H579" s="1" t="str">
        <f>IFERROR((VLOOKUP(G579,Backdata!G:H,2,0)),"")</f>
        <v/>
      </c>
      <c r="M579" s="5"/>
      <c r="N579" s="3">
        <f t="shared" si="87"/>
        <v>0</v>
      </c>
      <c r="O579" s="5"/>
      <c r="P579" s="3">
        <f t="shared" si="88"/>
        <v>0</v>
      </c>
      <c r="Q579" s="3">
        <f t="shared" si="84"/>
        <v>0</v>
      </c>
      <c r="T579" s="27" t="str">
        <f t="shared" si="89"/>
        <v/>
      </c>
      <c r="U579" s="1" t="str">
        <f t="shared" si="85"/>
        <v/>
      </c>
    </row>
    <row r="580" spans="2:21" hidden="1">
      <c r="B580" s="1">
        <f t="shared" si="86"/>
        <v>576</v>
      </c>
      <c r="C580" s="2"/>
      <c r="D580" s="2" t="str">
        <f t="shared" si="81"/>
        <v/>
      </c>
      <c r="E580" s="1" t="str">
        <f t="shared" si="82"/>
        <v/>
      </c>
      <c r="F580" s="1" t="str">
        <f t="shared" si="83"/>
        <v/>
      </c>
      <c r="H580" s="1" t="str">
        <f>IFERROR((VLOOKUP(G580,Backdata!G:H,2,0)),"")</f>
        <v/>
      </c>
      <c r="M580" s="5"/>
      <c r="N580" s="3">
        <f t="shared" si="87"/>
        <v>0</v>
      </c>
      <c r="O580" s="5"/>
      <c r="P580" s="3">
        <f t="shared" si="88"/>
        <v>0</v>
      </c>
      <c r="Q580" s="3">
        <f t="shared" si="84"/>
        <v>0</v>
      </c>
      <c r="T580" s="27" t="str">
        <f t="shared" si="89"/>
        <v/>
      </c>
      <c r="U580" s="1" t="str">
        <f t="shared" si="85"/>
        <v/>
      </c>
    </row>
    <row r="581" spans="2:21" hidden="1">
      <c r="B581" s="1">
        <f t="shared" si="86"/>
        <v>577</v>
      </c>
      <c r="C581" s="2"/>
      <c r="D581" s="2" t="str">
        <f t="shared" ref="D581:D644" si="90">IF((C581=""),"",(YEAR(C581)&amp;"년"))</f>
        <v/>
      </c>
      <c r="E581" s="1" t="str">
        <f t="shared" ref="E581:E644" si="91">IF((C581=""),"",(MONTH(C581)&amp;"월"))</f>
        <v/>
      </c>
      <c r="F581" s="1" t="str">
        <f t="shared" ref="F581:F644" si="92">CONCATENATE(D581,E581)</f>
        <v/>
      </c>
      <c r="H581" s="1" t="str">
        <f>IFERROR((VLOOKUP(G581,Backdata!G:H,2,0)),"")</f>
        <v/>
      </c>
      <c r="M581" s="5"/>
      <c r="N581" s="3">
        <f t="shared" si="87"/>
        <v>0</v>
      </c>
      <c r="O581" s="5"/>
      <c r="P581" s="3">
        <f t="shared" si="88"/>
        <v>0</v>
      </c>
      <c r="Q581" s="3">
        <f t="shared" ref="Q581:Q644" si="93">N581-P581</f>
        <v>0</v>
      </c>
      <c r="T581" s="27" t="str">
        <f t="shared" si="89"/>
        <v/>
      </c>
      <c r="U581" s="1" t="str">
        <f t="shared" ref="U581:U644" si="94">IF(T581="","","완료")</f>
        <v/>
      </c>
    </row>
    <row r="582" spans="2:21" hidden="1">
      <c r="B582" s="1">
        <f t="shared" ref="B582:B645" si="95">B581+1</f>
        <v>578</v>
      </c>
      <c r="C582" s="2"/>
      <c r="D582" s="2" t="str">
        <f t="shared" si="90"/>
        <v/>
      </c>
      <c r="E582" s="1" t="str">
        <f t="shared" si="91"/>
        <v/>
      </c>
      <c r="F582" s="1" t="str">
        <f t="shared" si="92"/>
        <v/>
      </c>
      <c r="H582" s="1" t="str">
        <f>IFERROR((VLOOKUP(G582,Backdata!G:H,2,0)),"")</f>
        <v/>
      </c>
      <c r="M582" s="5"/>
      <c r="N582" s="3">
        <f t="shared" ref="N582:N645" si="96">M582*L582*1.1</f>
        <v>0</v>
      </c>
      <c r="O582" s="5"/>
      <c r="P582" s="3">
        <f t="shared" ref="P582:P645" si="97">O582*L582*1.1</f>
        <v>0</v>
      </c>
      <c r="Q582" s="3">
        <f t="shared" si="93"/>
        <v>0</v>
      </c>
      <c r="T582" s="27" t="str">
        <f t="shared" si="89"/>
        <v/>
      </c>
      <c r="U582" s="1" t="str">
        <f t="shared" si="94"/>
        <v/>
      </c>
    </row>
    <row r="583" spans="2:21" hidden="1">
      <c r="B583" s="1">
        <f t="shared" si="95"/>
        <v>579</v>
      </c>
      <c r="C583" s="2"/>
      <c r="D583" s="2" t="str">
        <f t="shared" si="90"/>
        <v/>
      </c>
      <c r="E583" s="1" t="str">
        <f t="shared" si="91"/>
        <v/>
      </c>
      <c r="F583" s="1" t="str">
        <f t="shared" si="92"/>
        <v/>
      </c>
      <c r="H583" s="1" t="str">
        <f>IFERROR((VLOOKUP(G583,Backdata!G:H,2,0)),"")</f>
        <v/>
      </c>
      <c r="M583" s="5"/>
      <c r="N583" s="3">
        <f t="shared" si="96"/>
        <v>0</v>
      </c>
      <c r="O583" s="5"/>
      <c r="P583" s="3">
        <f t="shared" si="97"/>
        <v>0</v>
      </c>
      <c r="Q583" s="3">
        <f t="shared" si="93"/>
        <v>0</v>
      </c>
      <c r="T583" s="27" t="str">
        <f t="shared" si="89"/>
        <v/>
      </c>
      <c r="U583" s="1" t="str">
        <f t="shared" si="94"/>
        <v/>
      </c>
    </row>
    <row r="584" spans="2:21" hidden="1">
      <c r="B584" s="1">
        <f t="shared" si="95"/>
        <v>580</v>
      </c>
      <c r="C584" s="2"/>
      <c r="D584" s="2" t="str">
        <f t="shared" si="90"/>
        <v/>
      </c>
      <c r="E584" s="1" t="str">
        <f t="shared" si="91"/>
        <v/>
      </c>
      <c r="F584" s="1" t="str">
        <f t="shared" si="92"/>
        <v/>
      </c>
      <c r="H584" s="1" t="str">
        <f>IFERROR((VLOOKUP(G584,Backdata!G:H,2,0)),"")</f>
        <v/>
      </c>
      <c r="M584" s="5"/>
      <c r="N584" s="3">
        <f t="shared" si="96"/>
        <v>0</v>
      </c>
      <c r="O584" s="5"/>
      <c r="P584" s="3">
        <f t="shared" si="97"/>
        <v>0</v>
      </c>
      <c r="Q584" s="3">
        <f t="shared" si="93"/>
        <v>0</v>
      </c>
      <c r="T584" s="27" t="str">
        <f t="shared" si="89"/>
        <v/>
      </c>
      <c r="U584" s="1" t="str">
        <f t="shared" si="94"/>
        <v/>
      </c>
    </row>
    <row r="585" spans="2:21" hidden="1">
      <c r="B585" s="1">
        <f t="shared" si="95"/>
        <v>581</v>
      </c>
      <c r="C585" s="2"/>
      <c r="D585" s="2" t="str">
        <f t="shared" si="90"/>
        <v/>
      </c>
      <c r="E585" s="1" t="str">
        <f t="shared" si="91"/>
        <v/>
      </c>
      <c r="F585" s="1" t="str">
        <f t="shared" si="92"/>
        <v/>
      </c>
      <c r="H585" s="1" t="str">
        <f>IFERROR((VLOOKUP(G585,Backdata!G:H,2,0)),"")</f>
        <v/>
      </c>
      <c r="M585" s="5"/>
      <c r="N585" s="3">
        <f t="shared" si="96"/>
        <v>0</v>
      </c>
      <c r="O585" s="5"/>
      <c r="P585" s="3">
        <f t="shared" si="97"/>
        <v>0</v>
      </c>
      <c r="Q585" s="3">
        <f t="shared" si="93"/>
        <v>0</v>
      </c>
      <c r="T585" s="27" t="str">
        <f t="shared" si="89"/>
        <v/>
      </c>
      <c r="U585" s="1" t="str">
        <f t="shared" si="94"/>
        <v/>
      </c>
    </row>
    <row r="586" spans="2:21" hidden="1">
      <c r="B586" s="1">
        <f t="shared" si="95"/>
        <v>582</v>
      </c>
      <c r="C586" s="2"/>
      <c r="D586" s="2" t="str">
        <f t="shared" si="90"/>
        <v/>
      </c>
      <c r="E586" s="1" t="str">
        <f t="shared" si="91"/>
        <v/>
      </c>
      <c r="F586" s="1" t="str">
        <f t="shared" si="92"/>
        <v/>
      </c>
      <c r="H586" s="1" t="str">
        <f>IFERROR((VLOOKUP(G586,Backdata!G:H,2,0)),"")</f>
        <v/>
      </c>
      <c r="M586" s="5"/>
      <c r="N586" s="3">
        <f t="shared" si="96"/>
        <v>0</v>
      </c>
      <c r="O586" s="5"/>
      <c r="P586" s="3">
        <f t="shared" si="97"/>
        <v>0</v>
      </c>
      <c r="Q586" s="3">
        <f t="shared" si="93"/>
        <v>0</v>
      </c>
      <c r="T586" s="27" t="str">
        <f t="shared" si="89"/>
        <v/>
      </c>
      <c r="U586" s="1" t="str">
        <f t="shared" si="94"/>
        <v/>
      </c>
    </row>
    <row r="587" spans="2:21" hidden="1">
      <c r="B587" s="1">
        <f t="shared" si="95"/>
        <v>583</v>
      </c>
      <c r="C587" s="2"/>
      <c r="D587" s="2" t="str">
        <f t="shared" si="90"/>
        <v/>
      </c>
      <c r="E587" s="1" t="str">
        <f t="shared" si="91"/>
        <v/>
      </c>
      <c r="F587" s="1" t="str">
        <f t="shared" si="92"/>
        <v/>
      </c>
      <c r="H587" s="1" t="str">
        <f>IFERROR((VLOOKUP(G587,Backdata!G:H,2,0)),"")</f>
        <v/>
      </c>
      <c r="M587" s="5"/>
      <c r="N587" s="3">
        <f t="shared" si="96"/>
        <v>0</v>
      </c>
      <c r="O587" s="5"/>
      <c r="P587" s="3">
        <f t="shared" si="97"/>
        <v>0</v>
      </c>
      <c r="Q587" s="3">
        <f t="shared" si="93"/>
        <v>0</v>
      </c>
      <c r="T587" s="27" t="str">
        <f t="shared" si="89"/>
        <v/>
      </c>
      <c r="U587" s="1" t="str">
        <f t="shared" si="94"/>
        <v/>
      </c>
    </row>
    <row r="588" spans="2:21" hidden="1">
      <c r="B588" s="1">
        <f t="shared" si="95"/>
        <v>584</v>
      </c>
      <c r="C588" s="2"/>
      <c r="D588" s="2" t="str">
        <f t="shared" si="90"/>
        <v/>
      </c>
      <c r="E588" s="1" t="str">
        <f t="shared" si="91"/>
        <v/>
      </c>
      <c r="F588" s="1" t="str">
        <f t="shared" si="92"/>
        <v/>
      </c>
      <c r="H588" s="1" t="str">
        <f>IFERROR((VLOOKUP(G588,Backdata!G:H,2,0)),"")</f>
        <v/>
      </c>
      <c r="M588" s="5"/>
      <c r="N588" s="3">
        <f t="shared" si="96"/>
        <v>0</v>
      </c>
      <c r="O588" s="5"/>
      <c r="P588" s="3">
        <f t="shared" si="97"/>
        <v>0</v>
      </c>
      <c r="Q588" s="3">
        <f t="shared" si="93"/>
        <v>0</v>
      </c>
      <c r="T588" s="27" t="str">
        <f t="shared" si="89"/>
        <v/>
      </c>
      <c r="U588" s="1" t="str">
        <f t="shared" si="94"/>
        <v/>
      </c>
    </row>
    <row r="589" spans="2:21" hidden="1">
      <c r="B589" s="1">
        <f t="shared" si="95"/>
        <v>585</v>
      </c>
      <c r="C589" s="2"/>
      <c r="D589" s="2" t="str">
        <f t="shared" si="90"/>
        <v/>
      </c>
      <c r="E589" s="1" t="str">
        <f t="shared" si="91"/>
        <v/>
      </c>
      <c r="F589" s="1" t="str">
        <f t="shared" si="92"/>
        <v/>
      </c>
      <c r="H589" s="1" t="str">
        <f>IFERROR((VLOOKUP(G589,Backdata!G:H,2,0)),"")</f>
        <v/>
      </c>
      <c r="M589" s="5"/>
      <c r="N589" s="3">
        <f t="shared" si="96"/>
        <v>0</v>
      </c>
      <c r="O589" s="5"/>
      <c r="P589" s="3">
        <f t="shared" si="97"/>
        <v>0</v>
      </c>
      <c r="Q589" s="3">
        <f t="shared" si="93"/>
        <v>0</v>
      </c>
      <c r="T589" s="27" t="str">
        <f t="shared" si="89"/>
        <v/>
      </c>
      <c r="U589" s="1" t="str">
        <f t="shared" si="94"/>
        <v/>
      </c>
    </row>
    <row r="590" spans="2:21" hidden="1">
      <c r="B590" s="1">
        <f t="shared" si="95"/>
        <v>586</v>
      </c>
      <c r="C590" s="2"/>
      <c r="D590" s="2" t="str">
        <f t="shared" si="90"/>
        <v/>
      </c>
      <c r="E590" s="1" t="str">
        <f t="shared" si="91"/>
        <v/>
      </c>
      <c r="F590" s="1" t="str">
        <f t="shared" si="92"/>
        <v/>
      </c>
      <c r="H590" s="1" t="str">
        <f>IFERROR((VLOOKUP(G590,Backdata!G:H,2,0)),"")</f>
        <v/>
      </c>
      <c r="M590" s="5"/>
      <c r="N590" s="3">
        <f t="shared" si="96"/>
        <v>0</v>
      </c>
      <c r="O590" s="5"/>
      <c r="P590" s="3">
        <f t="shared" si="97"/>
        <v>0</v>
      </c>
      <c r="Q590" s="3">
        <f t="shared" si="93"/>
        <v>0</v>
      </c>
      <c r="T590" s="27" t="str">
        <f t="shared" si="89"/>
        <v/>
      </c>
      <c r="U590" s="1" t="str">
        <f t="shared" si="94"/>
        <v/>
      </c>
    </row>
    <row r="591" spans="2:21" hidden="1">
      <c r="B591" s="1">
        <f t="shared" si="95"/>
        <v>587</v>
      </c>
      <c r="C591" s="2"/>
      <c r="D591" s="2" t="str">
        <f t="shared" si="90"/>
        <v/>
      </c>
      <c r="E591" s="1" t="str">
        <f t="shared" si="91"/>
        <v/>
      </c>
      <c r="F591" s="1" t="str">
        <f t="shared" si="92"/>
        <v/>
      </c>
      <c r="H591" s="1" t="str">
        <f>IFERROR((VLOOKUP(G591,Backdata!G:H,2,0)),"")</f>
        <v/>
      </c>
      <c r="M591" s="5"/>
      <c r="N591" s="3">
        <f t="shared" si="96"/>
        <v>0</v>
      </c>
      <c r="O591" s="5"/>
      <c r="P591" s="3">
        <f t="shared" si="97"/>
        <v>0</v>
      </c>
      <c r="Q591" s="3">
        <f t="shared" si="93"/>
        <v>0</v>
      </c>
      <c r="T591" s="27" t="str">
        <f t="shared" si="89"/>
        <v/>
      </c>
      <c r="U591" s="1" t="str">
        <f t="shared" si="94"/>
        <v/>
      </c>
    </row>
    <row r="592" spans="2:21" hidden="1">
      <c r="B592" s="1">
        <f t="shared" si="95"/>
        <v>588</v>
      </c>
      <c r="C592" s="2"/>
      <c r="D592" s="2" t="str">
        <f t="shared" si="90"/>
        <v/>
      </c>
      <c r="E592" s="1" t="str">
        <f t="shared" si="91"/>
        <v/>
      </c>
      <c r="F592" s="1" t="str">
        <f t="shared" si="92"/>
        <v/>
      </c>
      <c r="H592" s="1" t="str">
        <f>IFERROR((VLOOKUP(G592,Backdata!G:H,2,0)),"")</f>
        <v/>
      </c>
      <c r="M592" s="5"/>
      <c r="N592" s="3">
        <f t="shared" si="96"/>
        <v>0</v>
      </c>
      <c r="O592" s="5"/>
      <c r="P592" s="3">
        <f t="shared" si="97"/>
        <v>0</v>
      </c>
      <c r="Q592" s="3">
        <f t="shared" si="93"/>
        <v>0</v>
      </c>
      <c r="T592" s="27" t="str">
        <f t="shared" si="89"/>
        <v/>
      </c>
      <c r="U592" s="1" t="str">
        <f t="shared" si="94"/>
        <v/>
      </c>
    </row>
    <row r="593" spans="2:21" hidden="1">
      <c r="B593" s="1">
        <f t="shared" si="95"/>
        <v>589</v>
      </c>
      <c r="C593" s="2"/>
      <c r="D593" s="2" t="str">
        <f t="shared" si="90"/>
        <v/>
      </c>
      <c r="E593" s="1" t="str">
        <f t="shared" si="91"/>
        <v/>
      </c>
      <c r="F593" s="1" t="str">
        <f t="shared" si="92"/>
        <v/>
      </c>
      <c r="H593" s="1" t="str">
        <f>IFERROR((VLOOKUP(G593,Backdata!G:H,2,0)),"")</f>
        <v/>
      </c>
      <c r="M593" s="5"/>
      <c r="N593" s="3">
        <f t="shared" si="96"/>
        <v>0</v>
      </c>
      <c r="O593" s="5"/>
      <c r="P593" s="3">
        <f t="shared" si="97"/>
        <v>0</v>
      </c>
      <c r="Q593" s="3">
        <f t="shared" si="93"/>
        <v>0</v>
      </c>
      <c r="T593" s="27" t="str">
        <f t="shared" si="89"/>
        <v/>
      </c>
      <c r="U593" s="1" t="str">
        <f t="shared" si="94"/>
        <v/>
      </c>
    </row>
    <row r="594" spans="2:21" hidden="1">
      <c r="B594" s="1">
        <f t="shared" si="95"/>
        <v>590</v>
      </c>
      <c r="C594" s="2"/>
      <c r="D594" s="2" t="str">
        <f t="shared" si="90"/>
        <v/>
      </c>
      <c r="E594" s="1" t="str">
        <f t="shared" si="91"/>
        <v/>
      </c>
      <c r="F594" s="1" t="str">
        <f t="shared" si="92"/>
        <v/>
      </c>
      <c r="H594" s="1" t="str">
        <f>IFERROR((VLOOKUP(G594,Backdata!G:H,2,0)),"")</f>
        <v/>
      </c>
      <c r="M594" s="5"/>
      <c r="N594" s="3">
        <f t="shared" si="96"/>
        <v>0</v>
      </c>
      <c r="O594" s="5"/>
      <c r="P594" s="3">
        <f t="shared" si="97"/>
        <v>0</v>
      </c>
      <c r="Q594" s="3">
        <f t="shared" si="93"/>
        <v>0</v>
      </c>
      <c r="T594" s="27" t="str">
        <f t="shared" si="89"/>
        <v/>
      </c>
      <c r="U594" s="1" t="str">
        <f t="shared" si="94"/>
        <v/>
      </c>
    </row>
    <row r="595" spans="2:21" hidden="1">
      <c r="B595" s="1">
        <f t="shared" si="95"/>
        <v>591</v>
      </c>
      <c r="C595" s="2"/>
      <c r="D595" s="2" t="str">
        <f t="shared" si="90"/>
        <v/>
      </c>
      <c r="E595" s="1" t="str">
        <f t="shared" si="91"/>
        <v/>
      </c>
      <c r="F595" s="1" t="str">
        <f t="shared" si="92"/>
        <v/>
      </c>
      <c r="H595" s="1" t="str">
        <f>IFERROR((VLOOKUP(G595,Backdata!G:H,2,0)),"")</f>
        <v/>
      </c>
      <c r="M595" s="5"/>
      <c r="N595" s="3">
        <f t="shared" si="96"/>
        <v>0</v>
      </c>
      <c r="O595" s="5"/>
      <c r="P595" s="3">
        <f t="shared" si="97"/>
        <v>0</v>
      </c>
      <c r="Q595" s="3">
        <f t="shared" si="93"/>
        <v>0</v>
      </c>
      <c r="T595" s="27" t="str">
        <f t="shared" si="89"/>
        <v/>
      </c>
      <c r="U595" s="1" t="str">
        <f t="shared" si="94"/>
        <v/>
      </c>
    </row>
    <row r="596" spans="2:21" hidden="1">
      <c r="B596" s="1">
        <f t="shared" si="95"/>
        <v>592</v>
      </c>
      <c r="C596" s="2"/>
      <c r="D596" s="2" t="str">
        <f t="shared" si="90"/>
        <v/>
      </c>
      <c r="E596" s="1" t="str">
        <f t="shared" si="91"/>
        <v/>
      </c>
      <c r="F596" s="1" t="str">
        <f t="shared" si="92"/>
        <v/>
      </c>
      <c r="H596" s="1" t="str">
        <f>IFERROR((VLOOKUP(G596,Backdata!G:H,2,0)),"")</f>
        <v/>
      </c>
      <c r="M596" s="5"/>
      <c r="N596" s="3">
        <f t="shared" si="96"/>
        <v>0</v>
      </c>
      <c r="O596" s="5"/>
      <c r="P596" s="3">
        <f t="shared" si="97"/>
        <v>0</v>
      </c>
      <c r="Q596" s="3">
        <f t="shared" si="93"/>
        <v>0</v>
      </c>
      <c r="T596" s="27" t="str">
        <f t="shared" si="89"/>
        <v/>
      </c>
      <c r="U596" s="1" t="str">
        <f t="shared" si="94"/>
        <v/>
      </c>
    </row>
    <row r="597" spans="2:21" hidden="1">
      <c r="B597" s="1">
        <f t="shared" si="95"/>
        <v>593</v>
      </c>
      <c r="C597" s="2"/>
      <c r="D597" s="2" t="str">
        <f t="shared" si="90"/>
        <v/>
      </c>
      <c r="E597" s="1" t="str">
        <f t="shared" si="91"/>
        <v/>
      </c>
      <c r="F597" s="1" t="str">
        <f t="shared" si="92"/>
        <v/>
      </c>
      <c r="H597" s="1" t="str">
        <f>IFERROR((VLOOKUP(G597,Backdata!G:H,2,0)),"")</f>
        <v/>
      </c>
      <c r="M597" s="5"/>
      <c r="N597" s="3">
        <f t="shared" si="96"/>
        <v>0</v>
      </c>
      <c r="O597" s="5"/>
      <c r="P597" s="3">
        <f t="shared" si="97"/>
        <v>0</v>
      </c>
      <c r="Q597" s="3">
        <f t="shared" si="93"/>
        <v>0</v>
      </c>
      <c r="T597" s="27" t="str">
        <f t="shared" si="89"/>
        <v/>
      </c>
      <c r="U597" s="1" t="str">
        <f t="shared" si="94"/>
        <v/>
      </c>
    </row>
    <row r="598" spans="2:21" hidden="1">
      <c r="B598" s="1">
        <f t="shared" si="95"/>
        <v>594</v>
      </c>
      <c r="C598" s="2"/>
      <c r="D598" s="2" t="str">
        <f t="shared" si="90"/>
        <v/>
      </c>
      <c r="E598" s="1" t="str">
        <f t="shared" si="91"/>
        <v/>
      </c>
      <c r="F598" s="1" t="str">
        <f t="shared" si="92"/>
        <v/>
      </c>
      <c r="H598" s="1" t="str">
        <f>IFERROR((VLOOKUP(G598,Backdata!G:H,2,0)),"")</f>
        <v/>
      </c>
      <c r="M598" s="5"/>
      <c r="N598" s="3">
        <f t="shared" si="96"/>
        <v>0</v>
      </c>
      <c r="O598" s="5"/>
      <c r="P598" s="3">
        <f t="shared" si="97"/>
        <v>0</v>
      </c>
      <c r="Q598" s="3">
        <f t="shared" si="93"/>
        <v>0</v>
      </c>
      <c r="T598" s="27" t="str">
        <f t="shared" si="89"/>
        <v/>
      </c>
      <c r="U598" s="1" t="str">
        <f t="shared" si="94"/>
        <v/>
      </c>
    </row>
    <row r="599" spans="2:21" hidden="1">
      <c r="B599" s="1">
        <f t="shared" si="95"/>
        <v>595</v>
      </c>
      <c r="C599" s="2"/>
      <c r="D599" s="2" t="str">
        <f t="shared" si="90"/>
        <v/>
      </c>
      <c r="E599" s="1" t="str">
        <f t="shared" si="91"/>
        <v/>
      </c>
      <c r="F599" s="1" t="str">
        <f t="shared" si="92"/>
        <v/>
      </c>
      <c r="H599" s="1" t="str">
        <f>IFERROR((VLOOKUP(G599,Backdata!G:H,2,0)),"")</f>
        <v/>
      </c>
      <c r="M599" s="5"/>
      <c r="N599" s="3">
        <f t="shared" si="96"/>
        <v>0</v>
      </c>
      <c r="O599" s="5"/>
      <c r="P599" s="3">
        <f t="shared" si="97"/>
        <v>0</v>
      </c>
      <c r="Q599" s="3">
        <f t="shared" si="93"/>
        <v>0</v>
      </c>
      <c r="T599" s="27" t="str">
        <f t="shared" si="89"/>
        <v/>
      </c>
      <c r="U599" s="1" t="str">
        <f t="shared" si="94"/>
        <v/>
      </c>
    </row>
    <row r="600" spans="2:21" hidden="1">
      <c r="B600" s="1">
        <f t="shared" si="95"/>
        <v>596</v>
      </c>
      <c r="C600" s="2"/>
      <c r="D600" s="2" t="str">
        <f t="shared" si="90"/>
        <v/>
      </c>
      <c r="E600" s="1" t="str">
        <f t="shared" si="91"/>
        <v/>
      </c>
      <c r="F600" s="1" t="str">
        <f t="shared" si="92"/>
        <v/>
      </c>
      <c r="H600" s="1" t="str">
        <f>IFERROR((VLOOKUP(G600,Backdata!G:H,2,0)),"")</f>
        <v/>
      </c>
      <c r="M600" s="5"/>
      <c r="N600" s="3">
        <f t="shared" si="96"/>
        <v>0</v>
      </c>
      <c r="O600" s="5"/>
      <c r="P600" s="3">
        <f t="shared" si="97"/>
        <v>0</v>
      </c>
      <c r="Q600" s="3">
        <f t="shared" si="93"/>
        <v>0</v>
      </c>
      <c r="T600" s="27" t="str">
        <f t="shared" si="89"/>
        <v/>
      </c>
      <c r="U600" s="1" t="str">
        <f t="shared" si="94"/>
        <v/>
      </c>
    </row>
    <row r="601" spans="2:21" hidden="1">
      <c r="B601" s="1">
        <f t="shared" si="95"/>
        <v>597</v>
      </c>
      <c r="C601" s="2"/>
      <c r="D601" s="2" t="str">
        <f t="shared" si="90"/>
        <v/>
      </c>
      <c r="E601" s="1" t="str">
        <f t="shared" si="91"/>
        <v/>
      </c>
      <c r="F601" s="1" t="str">
        <f t="shared" si="92"/>
        <v/>
      </c>
      <c r="H601" s="1" t="str">
        <f>IFERROR((VLOOKUP(G601,Backdata!G:H,2,0)),"")</f>
        <v/>
      </c>
      <c r="M601" s="5"/>
      <c r="N601" s="3">
        <f t="shared" si="96"/>
        <v>0</v>
      </c>
      <c r="O601" s="5"/>
      <c r="P601" s="3">
        <f t="shared" si="97"/>
        <v>0</v>
      </c>
      <c r="Q601" s="3">
        <f t="shared" si="93"/>
        <v>0</v>
      </c>
      <c r="T601" s="27" t="str">
        <f t="shared" si="89"/>
        <v/>
      </c>
      <c r="U601" s="1" t="str">
        <f t="shared" si="94"/>
        <v/>
      </c>
    </row>
    <row r="602" spans="2:21" hidden="1">
      <c r="B602" s="1">
        <f t="shared" si="95"/>
        <v>598</v>
      </c>
      <c r="C602" s="2"/>
      <c r="D602" s="2" t="str">
        <f t="shared" si="90"/>
        <v/>
      </c>
      <c r="E602" s="1" t="str">
        <f t="shared" si="91"/>
        <v/>
      </c>
      <c r="F602" s="1" t="str">
        <f t="shared" si="92"/>
        <v/>
      </c>
      <c r="H602" s="1" t="str">
        <f>IFERROR((VLOOKUP(G602,Backdata!G:H,2,0)),"")</f>
        <v/>
      </c>
      <c r="M602" s="5"/>
      <c r="N602" s="3">
        <f t="shared" si="96"/>
        <v>0</v>
      </c>
      <c r="O602" s="5"/>
      <c r="P602" s="3">
        <f t="shared" si="97"/>
        <v>0</v>
      </c>
      <c r="Q602" s="3">
        <f t="shared" si="93"/>
        <v>0</v>
      </c>
      <c r="T602" s="27" t="str">
        <f t="shared" si="89"/>
        <v/>
      </c>
      <c r="U602" s="1" t="str">
        <f t="shared" si="94"/>
        <v/>
      </c>
    </row>
    <row r="603" spans="2:21" hidden="1">
      <c r="B603" s="1">
        <f t="shared" si="95"/>
        <v>599</v>
      </c>
      <c r="C603" s="2"/>
      <c r="D603" s="2" t="str">
        <f t="shared" si="90"/>
        <v/>
      </c>
      <c r="E603" s="1" t="str">
        <f t="shared" si="91"/>
        <v/>
      </c>
      <c r="F603" s="1" t="str">
        <f t="shared" si="92"/>
        <v/>
      </c>
      <c r="H603" s="1" t="str">
        <f>IFERROR((VLOOKUP(G603,Backdata!G:H,2,0)),"")</f>
        <v/>
      </c>
      <c r="M603" s="5"/>
      <c r="N603" s="3">
        <f t="shared" si="96"/>
        <v>0</v>
      </c>
      <c r="O603" s="5"/>
      <c r="P603" s="3">
        <f t="shared" si="97"/>
        <v>0</v>
      </c>
      <c r="Q603" s="3">
        <f t="shared" si="93"/>
        <v>0</v>
      </c>
      <c r="T603" s="27" t="str">
        <f t="shared" si="89"/>
        <v/>
      </c>
      <c r="U603" s="1" t="str">
        <f t="shared" si="94"/>
        <v/>
      </c>
    </row>
    <row r="604" spans="2:21" hidden="1">
      <c r="B604" s="1">
        <f t="shared" si="95"/>
        <v>600</v>
      </c>
      <c r="C604" s="2"/>
      <c r="D604" s="2" t="str">
        <f t="shared" si="90"/>
        <v/>
      </c>
      <c r="E604" s="1" t="str">
        <f t="shared" si="91"/>
        <v/>
      </c>
      <c r="F604" s="1" t="str">
        <f t="shared" si="92"/>
        <v/>
      </c>
      <c r="H604" s="1" t="str">
        <f>IFERROR((VLOOKUP(G604,Backdata!G:H,2,0)),"")</f>
        <v/>
      </c>
      <c r="M604" s="5"/>
      <c r="N604" s="3">
        <f t="shared" si="96"/>
        <v>0</v>
      </c>
      <c r="O604" s="5"/>
      <c r="P604" s="3">
        <f t="shared" si="97"/>
        <v>0</v>
      </c>
      <c r="Q604" s="3">
        <f t="shared" si="93"/>
        <v>0</v>
      </c>
      <c r="T604" s="27" t="str">
        <f t="shared" si="89"/>
        <v/>
      </c>
      <c r="U604" s="1" t="str">
        <f t="shared" si="94"/>
        <v/>
      </c>
    </row>
    <row r="605" spans="2:21" hidden="1">
      <c r="B605" s="1">
        <f t="shared" si="95"/>
        <v>601</v>
      </c>
      <c r="C605" s="2"/>
      <c r="D605" s="2" t="str">
        <f t="shared" si="90"/>
        <v/>
      </c>
      <c r="E605" s="1" t="str">
        <f t="shared" si="91"/>
        <v/>
      </c>
      <c r="F605" s="1" t="str">
        <f t="shared" si="92"/>
        <v/>
      </c>
      <c r="H605" s="1" t="str">
        <f>IFERROR((VLOOKUP(G605,Backdata!G:H,2,0)),"")</f>
        <v/>
      </c>
      <c r="M605" s="5"/>
      <c r="N605" s="3">
        <f t="shared" si="96"/>
        <v>0</v>
      </c>
      <c r="O605" s="5"/>
      <c r="P605" s="3">
        <f t="shared" si="97"/>
        <v>0</v>
      </c>
      <c r="Q605" s="3">
        <f t="shared" si="93"/>
        <v>0</v>
      </c>
      <c r="T605" s="27" t="str">
        <f t="shared" si="89"/>
        <v/>
      </c>
      <c r="U605" s="1" t="str">
        <f t="shared" si="94"/>
        <v/>
      </c>
    </row>
    <row r="606" spans="2:21" hidden="1">
      <c r="B606" s="1">
        <f t="shared" si="95"/>
        <v>602</v>
      </c>
      <c r="C606" s="2"/>
      <c r="D606" s="2" t="str">
        <f t="shared" si="90"/>
        <v/>
      </c>
      <c r="E606" s="1" t="str">
        <f t="shared" si="91"/>
        <v/>
      </c>
      <c r="F606" s="1" t="str">
        <f t="shared" si="92"/>
        <v/>
      </c>
      <c r="H606" s="1" t="str">
        <f>IFERROR((VLOOKUP(G606,Backdata!G:H,2,0)),"")</f>
        <v/>
      </c>
      <c r="M606" s="5"/>
      <c r="N606" s="3">
        <f t="shared" si="96"/>
        <v>0</v>
      </c>
      <c r="O606" s="5"/>
      <c r="P606" s="3">
        <f t="shared" si="97"/>
        <v>0</v>
      </c>
      <c r="Q606" s="3">
        <f t="shared" si="93"/>
        <v>0</v>
      </c>
      <c r="T606" s="27" t="str">
        <f t="shared" si="89"/>
        <v/>
      </c>
      <c r="U606" s="1" t="str">
        <f t="shared" si="94"/>
        <v/>
      </c>
    </row>
    <row r="607" spans="2:21" hidden="1">
      <c r="B607" s="1">
        <f t="shared" si="95"/>
        <v>603</v>
      </c>
      <c r="C607" s="2"/>
      <c r="D607" s="2" t="str">
        <f t="shared" si="90"/>
        <v/>
      </c>
      <c r="E607" s="1" t="str">
        <f t="shared" si="91"/>
        <v/>
      </c>
      <c r="F607" s="1" t="str">
        <f t="shared" si="92"/>
        <v/>
      </c>
      <c r="H607" s="1" t="str">
        <f>IFERROR((VLOOKUP(G607,Backdata!G:H,2,0)),"")</f>
        <v/>
      </c>
      <c r="M607" s="5"/>
      <c r="N607" s="3">
        <f t="shared" si="96"/>
        <v>0</v>
      </c>
      <c r="O607" s="5"/>
      <c r="P607" s="3">
        <f t="shared" si="97"/>
        <v>0</v>
      </c>
      <c r="Q607" s="3">
        <f t="shared" si="93"/>
        <v>0</v>
      </c>
      <c r="T607" s="27" t="str">
        <f t="shared" si="89"/>
        <v/>
      </c>
      <c r="U607" s="1" t="str">
        <f t="shared" si="94"/>
        <v/>
      </c>
    </row>
    <row r="608" spans="2:21" hidden="1">
      <c r="B608" s="1">
        <f t="shared" si="95"/>
        <v>604</v>
      </c>
      <c r="C608" s="2"/>
      <c r="D608" s="2" t="str">
        <f t="shared" si="90"/>
        <v/>
      </c>
      <c r="E608" s="1" t="str">
        <f t="shared" si="91"/>
        <v/>
      </c>
      <c r="F608" s="1" t="str">
        <f t="shared" si="92"/>
        <v/>
      </c>
      <c r="H608" s="1" t="str">
        <f>IFERROR((VLOOKUP(G608,Backdata!G:H,2,0)),"")</f>
        <v/>
      </c>
      <c r="M608" s="5"/>
      <c r="N608" s="3">
        <f t="shared" si="96"/>
        <v>0</v>
      </c>
      <c r="O608" s="5"/>
      <c r="P608" s="3">
        <f t="shared" si="97"/>
        <v>0</v>
      </c>
      <c r="Q608" s="3">
        <f t="shared" si="93"/>
        <v>0</v>
      </c>
      <c r="T608" s="27" t="str">
        <f t="shared" si="89"/>
        <v/>
      </c>
      <c r="U608" s="1" t="str">
        <f t="shared" si="94"/>
        <v/>
      </c>
    </row>
    <row r="609" spans="2:21" hidden="1">
      <c r="B609" s="1">
        <f t="shared" si="95"/>
        <v>605</v>
      </c>
      <c r="C609" s="2"/>
      <c r="D609" s="2" t="str">
        <f t="shared" si="90"/>
        <v/>
      </c>
      <c r="E609" s="1" t="str">
        <f t="shared" si="91"/>
        <v/>
      </c>
      <c r="F609" s="1" t="str">
        <f t="shared" si="92"/>
        <v/>
      </c>
      <c r="H609" s="1" t="str">
        <f>IFERROR((VLOOKUP(G609,Backdata!G:H,2,0)),"")</f>
        <v/>
      </c>
      <c r="M609" s="5"/>
      <c r="N609" s="3">
        <f t="shared" si="96"/>
        <v>0</v>
      </c>
      <c r="O609" s="5"/>
      <c r="P609" s="3">
        <f t="shared" si="97"/>
        <v>0</v>
      </c>
      <c r="Q609" s="3">
        <f t="shared" si="93"/>
        <v>0</v>
      </c>
      <c r="T609" s="27" t="str">
        <f t="shared" si="89"/>
        <v/>
      </c>
      <c r="U609" s="1" t="str">
        <f t="shared" si="94"/>
        <v/>
      </c>
    </row>
    <row r="610" spans="2:21" hidden="1">
      <c r="B610" s="1">
        <f t="shared" si="95"/>
        <v>606</v>
      </c>
      <c r="C610" s="2"/>
      <c r="D610" s="2" t="str">
        <f t="shared" si="90"/>
        <v/>
      </c>
      <c r="E610" s="1" t="str">
        <f t="shared" si="91"/>
        <v/>
      </c>
      <c r="F610" s="1" t="str">
        <f t="shared" si="92"/>
        <v/>
      </c>
      <c r="H610" s="1" t="str">
        <f>IFERROR((VLOOKUP(G610,Backdata!G:H,2,0)),"")</f>
        <v/>
      </c>
      <c r="M610" s="5"/>
      <c r="N610" s="3">
        <f t="shared" si="96"/>
        <v>0</v>
      </c>
      <c r="O610" s="5"/>
      <c r="P610" s="3">
        <f t="shared" si="97"/>
        <v>0</v>
      </c>
      <c r="Q610" s="3">
        <f t="shared" si="93"/>
        <v>0</v>
      </c>
      <c r="T610" s="27" t="str">
        <f t="shared" si="89"/>
        <v/>
      </c>
      <c r="U610" s="1" t="str">
        <f t="shared" si="94"/>
        <v/>
      </c>
    </row>
    <row r="611" spans="2:21" hidden="1">
      <c r="B611" s="1">
        <f t="shared" si="95"/>
        <v>607</v>
      </c>
      <c r="C611" s="2"/>
      <c r="D611" s="2" t="str">
        <f t="shared" si="90"/>
        <v/>
      </c>
      <c r="E611" s="1" t="str">
        <f t="shared" si="91"/>
        <v/>
      </c>
      <c r="F611" s="1" t="str">
        <f t="shared" si="92"/>
        <v/>
      </c>
      <c r="H611" s="1" t="str">
        <f>IFERROR((VLOOKUP(G611,Backdata!G:H,2,0)),"")</f>
        <v/>
      </c>
      <c r="M611" s="5"/>
      <c r="N611" s="3">
        <f t="shared" si="96"/>
        <v>0</v>
      </c>
      <c r="O611" s="5"/>
      <c r="P611" s="3">
        <f t="shared" si="97"/>
        <v>0</v>
      </c>
      <c r="Q611" s="3">
        <f t="shared" si="93"/>
        <v>0</v>
      </c>
      <c r="T611" s="27" t="str">
        <f t="shared" si="89"/>
        <v/>
      </c>
      <c r="U611" s="1" t="str">
        <f t="shared" si="94"/>
        <v/>
      </c>
    </row>
    <row r="612" spans="2:21" hidden="1">
      <c r="B612" s="1">
        <f t="shared" si="95"/>
        <v>608</v>
      </c>
      <c r="C612" s="2"/>
      <c r="D612" s="2" t="str">
        <f t="shared" si="90"/>
        <v/>
      </c>
      <c r="E612" s="1" t="str">
        <f t="shared" si="91"/>
        <v/>
      </c>
      <c r="F612" s="1" t="str">
        <f t="shared" si="92"/>
        <v/>
      </c>
      <c r="H612" s="1" t="str">
        <f>IFERROR((VLOOKUP(G612,Backdata!G:H,2,0)),"")</f>
        <v/>
      </c>
      <c r="M612" s="5"/>
      <c r="N612" s="3">
        <f t="shared" si="96"/>
        <v>0</v>
      </c>
      <c r="O612" s="5"/>
      <c r="P612" s="3">
        <f t="shared" si="97"/>
        <v>0</v>
      </c>
      <c r="Q612" s="3">
        <f t="shared" si="93"/>
        <v>0</v>
      </c>
      <c r="T612" s="27" t="str">
        <f t="shared" si="89"/>
        <v/>
      </c>
      <c r="U612" s="1" t="str">
        <f t="shared" si="94"/>
        <v/>
      </c>
    </row>
    <row r="613" spans="2:21" hidden="1">
      <c r="B613" s="1">
        <f t="shared" si="95"/>
        <v>609</v>
      </c>
      <c r="C613" s="2"/>
      <c r="D613" s="2" t="str">
        <f t="shared" si="90"/>
        <v/>
      </c>
      <c r="E613" s="1" t="str">
        <f t="shared" si="91"/>
        <v/>
      </c>
      <c r="F613" s="1" t="str">
        <f t="shared" si="92"/>
        <v/>
      </c>
      <c r="H613" s="1" t="str">
        <f>IFERROR((VLOOKUP(G613,Backdata!G:H,2,0)),"")</f>
        <v/>
      </c>
      <c r="M613" s="5"/>
      <c r="N613" s="3">
        <f t="shared" si="96"/>
        <v>0</v>
      </c>
      <c r="O613" s="5"/>
      <c r="P613" s="3">
        <f t="shared" si="97"/>
        <v>0</v>
      </c>
      <c r="Q613" s="3">
        <f t="shared" si="93"/>
        <v>0</v>
      </c>
      <c r="T613" s="27" t="str">
        <f t="shared" si="89"/>
        <v/>
      </c>
      <c r="U613" s="1" t="str">
        <f t="shared" si="94"/>
        <v/>
      </c>
    </row>
    <row r="614" spans="2:21" hidden="1">
      <c r="B614" s="1">
        <f t="shared" si="95"/>
        <v>610</v>
      </c>
      <c r="C614" s="2"/>
      <c r="D614" s="2" t="str">
        <f t="shared" si="90"/>
        <v/>
      </c>
      <c r="E614" s="1" t="str">
        <f t="shared" si="91"/>
        <v/>
      </c>
      <c r="F614" s="1" t="str">
        <f t="shared" si="92"/>
        <v/>
      </c>
      <c r="H614" s="1" t="str">
        <f>IFERROR((VLOOKUP(G614,Backdata!G:H,2,0)),"")</f>
        <v/>
      </c>
      <c r="M614" s="5"/>
      <c r="N614" s="3">
        <f t="shared" si="96"/>
        <v>0</v>
      </c>
      <c r="O614" s="5"/>
      <c r="P614" s="3">
        <f t="shared" si="97"/>
        <v>0</v>
      </c>
      <c r="Q614" s="3">
        <f t="shared" si="93"/>
        <v>0</v>
      </c>
      <c r="T614" s="27" t="str">
        <f t="shared" si="89"/>
        <v/>
      </c>
      <c r="U614" s="1" t="str">
        <f t="shared" si="94"/>
        <v/>
      </c>
    </row>
    <row r="615" spans="2:21" hidden="1">
      <c r="B615" s="1">
        <f t="shared" si="95"/>
        <v>611</v>
      </c>
      <c r="C615" s="2"/>
      <c r="D615" s="2" t="str">
        <f t="shared" si="90"/>
        <v/>
      </c>
      <c r="E615" s="1" t="str">
        <f t="shared" si="91"/>
        <v/>
      </c>
      <c r="F615" s="1" t="str">
        <f t="shared" si="92"/>
        <v/>
      </c>
      <c r="H615" s="1" t="str">
        <f>IFERROR((VLOOKUP(G615,Backdata!G:H,2,0)),"")</f>
        <v/>
      </c>
      <c r="M615" s="5"/>
      <c r="N615" s="3">
        <f t="shared" si="96"/>
        <v>0</v>
      </c>
      <c r="O615" s="5"/>
      <c r="P615" s="3">
        <f t="shared" si="97"/>
        <v>0</v>
      </c>
      <c r="Q615" s="3">
        <f t="shared" si="93"/>
        <v>0</v>
      </c>
      <c r="T615" s="27" t="str">
        <f t="shared" si="89"/>
        <v/>
      </c>
      <c r="U615" s="1" t="str">
        <f t="shared" si="94"/>
        <v/>
      </c>
    </row>
    <row r="616" spans="2:21" hidden="1">
      <c r="B616" s="1">
        <f t="shared" si="95"/>
        <v>612</v>
      </c>
      <c r="C616" s="2"/>
      <c r="D616" s="2" t="str">
        <f t="shared" si="90"/>
        <v/>
      </c>
      <c r="E616" s="1" t="str">
        <f t="shared" si="91"/>
        <v/>
      </c>
      <c r="F616" s="1" t="str">
        <f t="shared" si="92"/>
        <v/>
      </c>
      <c r="H616" s="1" t="str">
        <f>IFERROR((VLOOKUP(G616,Backdata!G:H,2,0)),"")</f>
        <v/>
      </c>
      <c r="M616" s="5"/>
      <c r="N616" s="3">
        <f t="shared" si="96"/>
        <v>0</v>
      </c>
      <c r="O616" s="5"/>
      <c r="P616" s="3">
        <f t="shared" si="97"/>
        <v>0</v>
      </c>
      <c r="Q616" s="3">
        <f t="shared" si="93"/>
        <v>0</v>
      </c>
      <c r="T616" s="27" t="str">
        <f t="shared" si="89"/>
        <v/>
      </c>
      <c r="U616" s="1" t="str">
        <f t="shared" si="94"/>
        <v/>
      </c>
    </row>
    <row r="617" spans="2:21" hidden="1">
      <c r="B617" s="1">
        <f t="shared" si="95"/>
        <v>613</v>
      </c>
      <c r="C617" s="2"/>
      <c r="D617" s="2" t="str">
        <f t="shared" si="90"/>
        <v/>
      </c>
      <c r="E617" s="1" t="str">
        <f t="shared" si="91"/>
        <v/>
      </c>
      <c r="F617" s="1" t="str">
        <f t="shared" si="92"/>
        <v/>
      </c>
      <c r="H617" s="1" t="str">
        <f>IFERROR((VLOOKUP(G617,Backdata!G:H,2,0)),"")</f>
        <v/>
      </c>
      <c r="M617" s="5"/>
      <c r="N617" s="3">
        <f t="shared" si="96"/>
        <v>0</v>
      </c>
      <c r="O617" s="5"/>
      <c r="P617" s="3">
        <f t="shared" si="97"/>
        <v>0</v>
      </c>
      <c r="Q617" s="3">
        <f t="shared" si="93"/>
        <v>0</v>
      </c>
      <c r="T617" s="27" t="str">
        <f t="shared" si="89"/>
        <v/>
      </c>
      <c r="U617" s="1" t="str">
        <f t="shared" si="94"/>
        <v/>
      </c>
    </row>
    <row r="618" spans="2:21" hidden="1">
      <c r="B618" s="1">
        <f t="shared" si="95"/>
        <v>614</v>
      </c>
      <c r="C618" s="2"/>
      <c r="D618" s="2" t="str">
        <f t="shared" si="90"/>
        <v/>
      </c>
      <c r="E618" s="1" t="str">
        <f t="shared" si="91"/>
        <v/>
      </c>
      <c r="F618" s="1" t="str">
        <f t="shared" si="92"/>
        <v/>
      </c>
      <c r="H618" s="1" t="str">
        <f>IFERROR((VLOOKUP(G618,Backdata!G:H,2,0)),"")</f>
        <v/>
      </c>
      <c r="M618" s="5"/>
      <c r="N618" s="3">
        <f t="shared" si="96"/>
        <v>0</v>
      </c>
      <c r="O618" s="5"/>
      <c r="P618" s="3">
        <f t="shared" si="97"/>
        <v>0</v>
      </c>
      <c r="Q618" s="3">
        <f t="shared" si="93"/>
        <v>0</v>
      </c>
      <c r="T618" s="27" t="str">
        <f t="shared" si="89"/>
        <v/>
      </c>
      <c r="U618" s="1" t="str">
        <f t="shared" si="94"/>
        <v/>
      </c>
    </row>
    <row r="619" spans="2:21" hidden="1">
      <c r="B619" s="1">
        <f t="shared" si="95"/>
        <v>615</v>
      </c>
      <c r="C619" s="2"/>
      <c r="D619" s="2" t="str">
        <f t="shared" si="90"/>
        <v/>
      </c>
      <c r="E619" s="1" t="str">
        <f t="shared" si="91"/>
        <v/>
      </c>
      <c r="F619" s="1" t="str">
        <f t="shared" si="92"/>
        <v/>
      </c>
      <c r="H619" s="1" t="str">
        <f>IFERROR((VLOOKUP(G619,Backdata!G:H,2,0)),"")</f>
        <v/>
      </c>
      <c r="M619" s="5"/>
      <c r="N619" s="3">
        <f t="shared" si="96"/>
        <v>0</v>
      </c>
      <c r="O619" s="5"/>
      <c r="P619" s="3">
        <f t="shared" si="97"/>
        <v>0</v>
      </c>
      <c r="Q619" s="3">
        <f t="shared" si="93"/>
        <v>0</v>
      </c>
      <c r="T619" s="27" t="str">
        <f t="shared" si="89"/>
        <v/>
      </c>
      <c r="U619" s="1" t="str">
        <f t="shared" si="94"/>
        <v/>
      </c>
    </row>
    <row r="620" spans="2:21" hidden="1">
      <c r="B620" s="1">
        <f t="shared" si="95"/>
        <v>616</v>
      </c>
      <c r="C620" s="2"/>
      <c r="D620" s="2" t="str">
        <f t="shared" si="90"/>
        <v/>
      </c>
      <c r="E620" s="1" t="str">
        <f t="shared" si="91"/>
        <v/>
      </c>
      <c r="F620" s="1" t="str">
        <f t="shared" si="92"/>
        <v/>
      </c>
      <c r="H620" s="1" t="str">
        <f>IFERROR((VLOOKUP(G620,Backdata!G:H,2,0)),"")</f>
        <v/>
      </c>
      <c r="M620" s="5"/>
      <c r="N620" s="3">
        <f t="shared" si="96"/>
        <v>0</v>
      </c>
      <c r="O620" s="5"/>
      <c r="P620" s="3">
        <f t="shared" si="97"/>
        <v>0</v>
      </c>
      <c r="Q620" s="3">
        <f t="shared" si="93"/>
        <v>0</v>
      </c>
      <c r="T620" s="27" t="str">
        <f t="shared" si="89"/>
        <v/>
      </c>
      <c r="U620" s="1" t="str">
        <f t="shared" si="94"/>
        <v/>
      </c>
    </row>
    <row r="621" spans="2:21" hidden="1">
      <c r="B621" s="1">
        <f t="shared" si="95"/>
        <v>617</v>
      </c>
      <c r="C621" s="2"/>
      <c r="D621" s="2" t="str">
        <f t="shared" si="90"/>
        <v/>
      </c>
      <c r="E621" s="1" t="str">
        <f t="shared" si="91"/>
        <v/>
      </c>
      <c r="F621" s="1" t="str">
        <f t="shared" si="92"/>
        <v/>
      </c>
      <c r="H621" s="1" t="str">
        <f>IFERROR((VLOOKUP(G621,Backdata!G:H,2,0)),"")</f>
        <v/>
      </c>
      <c r="M621" s="5"/>
      <c r="N621" s="3">
        <f t="shared" si="96"/>
        <v>0</v>
      </c>
      <c r="O621" s="5"/>
      <c r="P621" s="3">
        <f t="shared" si="97"/>
        <v>0</v>
      </c>
      <c r="Q621" s="3">
        <f t="shared" si="93"/>
        <v>0</v>
      </c>
      <c r="T621" s="27" t="str">
        <f t="shared" si="89"/>
        <v/>
      </c>
      <c r="U621" s="1" t="str">
        <f t="shared" si="94"/>
        <v/>
      </c>
    </row>
    <row r="622" spans="2:21" hidden="1">
      <c r="B622" s="1">
        <f t="shared" si="95"/>
        <v>618</v>
      </c>
      <c r="C622" s="2"/>
      <c r="D622" s="2" t="str">
        <f t="shared" si="90"/>
        <v/>
      </c>
      <c r="E622" s="1" t="str">
        <f t="shared" si="91"/>
        <v/>
      </c>
      <c r="F622" s="1" t="str">
        <f t="shared" si="92"/>
        <v/>
      </c>
      <c r="H622" s="1" t="str">
        <f>IFERROR((VLOOKUP(G622,Backdata!G:H,2,0)),"")</f>
        <v/>
      </c>
      <c r="M622" s="5"/>
      <c r="N622" s="3">
        <f t="shared" si="96"/>
        <v>0</v>
      </c>
      <c r="O622" s="5"/>
      <c r="P622" s="3">
        <f t="shared" si="97"/>
        <v>0</v>
      </c>
      <c r="Q622" s="3">
        <f t="shared" si="93"/>
        <v>0</v>
      </c>
      <c r="T622" s="27" t="str">
        <f t="shared" si="89"/>
        <v/>
      </c>
      <c r="U622" s="1" t="str">
        <f t="shared" si="94"/>
        <v/>
      </c>
    </row>
    <row r="623" spans="2:21" hidden="1">
      <c r="B623" s="1">
        <f t="shared" si="95"/>
        <v>619</v>
      </c>
      <c r="C623" s="2"/>
      <c r="D623" s="2" t="str">
        <f t="shared" si="90"/>
        <v/>
      </c>
      <c r="E623" s="1" t="str">
        <f t="shared" si="91"/>
        <v/>
      </c>
      <c r="F623" s="1" t="str">
        <f t="shared" si="92"/>
        <v/>
      </c>
      <c r="H623" s="1" t="str">
        <f>IFERROR((VLOOKUP(G623,Backdata!G:H,2,0)),"")</f>
        <v/>
      </c>
      <c r="M623" s="5"/>
      <c r="N623" s="3">
        <f t="shared" si="96"/>
        <v>0</v>
      </c>
      <c r="O623" s="5"/>
      <c r="P623" s="3">
        <f t="shared" si="97"/>
        <v>0</v>
      </c>
      <c r="Q623" s="3">
        <f t="shared" si="93"/>
        <v>0</v>
      </c>
      <c r="T623" s="27" t="str">
        <f t="shared" si="89"/>
        <v/>
      </c>
      <c r="U623" s="1" t="str">
        <f t="shared" si="94"/>
        <v/>
      </c>
    </row>
    <row r="624" spans="2:21" hidden="1">
      <c r="B624" s="1">
        <f t="shared" si="95"/>
        <v>620</v>
      </c>
      <c r="C624" s="2"/>
      <c r="D624" s="2" t="str">
        <f t="shared" si="90"/>
        <v/>
      </c>
      <c r="E624" s="1" t="str">
        <f t="shared" si="91"/>
        <v/>
      </c>
      <c r="F624" s="1" t="str">
        <f t="shared" si="92"/>
        <v/>
      </c>
      <c r="H624" s="1" t="str">
        <f>IFERROR((VLOOKUP(G624,Backdata!G:H,2,0)),"")</f>
        <v/>
      </c>
      <c r="M624" s="5"/>
      <c r="N624" s="3">
        <f t="shared" si="96"/>
        <v>0</v>
      </c>
      <c r="O624" s="5"/>
      <c r="P624" s="3">
        <f t="shared" si="97"/>
        <v>0</v>
      </c>
      <c r="Q624" s="3">
        <f t="shared" si="93"/>
        <v>0</v>
      </c>
      <c r="T624" s="27" t="str">
        <f t="shared" si="89"/>
        <v/>
      </c>
      <c r="U624" s="1" t="str">
        <f t="shared" si="94"/>
        <v/>
      </c>
    </row>
    <row r="625" spans="2:21" hidden="1">
      <c r="B625" s="1">
        <f t="shared" si="95"/>
        <v>621</v>
      </c>
      <c r="C625" s="2"/>
      <c r="D625" s="2" t="str">
        <f t="shared" si="90"/>
        <v/>
      </c>
      <c r="E625" s="1" t="str">
        <f t="shared" si="91"/>
        <v/>
      </c>
      <c r="F625" s="1" t="str">
        <f t="shared" si="92"/>
        <v/>
      </c>
      <c r="H625" s="1" t="str">
        <f>IFERROR((VLOOKUP(G625,Backdata!G:H,2,0)),"")</f>
        <v/>
      </c>
      <c r="M625" s="5"/>
      <c r="N625" s="3">
        <f t="shared" si="96"/>
        <v>0</v>
      </c>
      <c r="O625" s="5"/>
      <c r="P625" s="3">
        <f t="shared" si="97"/>
        <v>0</v>
      </c>
      <c r="Q625" s="3">
        <f t="shared" si="93"/>
        <v>0</v>
      </c>
      <c r="T625" s="27" t="str">
        <f t="shared" si="89"/>
        <v/>
      </c>
      <c r="U625" s="1" t="str">
        <f t="shared" si="94"/>
        <v/>
      </c>
    </row>
    <row r="626" spans="2:21" hidden="1">
      <c r="B626" s="1">
        <f t="shared" si="95"/>
        <v>622</v>
      </c>
      <c r="C626" s="2"/>
      <c r="D626" s="2" t="str">
        <f t="shared" si="90"/>
        <v/>
      </c>
      <c r="E626" s="1" t="str">
        <f t="shared" si="91"/>
        <v/>
      </c>
      <c r="F626" s="1" t="str">
        <f t="shared" si="92"/>
        <v/>
      </c>
      <c r="H626" s="1" t="str">
        <f>IFERROR((VLOOKUP(G626,Backdata!G:H,2,0)),"")</f>
        <v/>
      </c>
      <c r="M626" s="5"/>
      <c r="N626" s="3">
        <f t="shared" si="96"/>
        <v>0</v>
      </c>
      <c r="O626" s="5"/>
      <c r="P626" s="3">
        <f t="shared" si="97"/>
        <v>0</v>
      </c>
      <c r="Q626" s="3">
        <f t="shared" si="93"/>
        <v>0</v>
      </c>
      <c r="T626" s="27" t="str">
        <f t="shared" si="89"/>
        <v/>
      </c>
      <c r="U626" s="1" t="str">
        <f t="shared" si="94"/>
        <v/>
      </c>
    </row>
    <row r="627" spans="2:21" hidden="1">
      <c r="B627" s="1">
        <f t="shared" si="95"/>
        <v>623</v>
      </c>
      <c r="C627" s="2"/>
      <c r="D627" s="2" t="str">
        <f t="shared" si="90"/>
        <v/>
      </c>
      <c r="E627" s="1" t="str">
        <f t="shared" si="91"/>
        <v/>
      </c>
      <c r="F627" s="1" t="str">
        <f t="shared" si="92"/>
        <v/>
      </c>
      <c r="H627" s="1" t="str">
        <f>IFERROR((VLOOKUP(G627,Backdata!G:H,2,0)),"")</f>
        <v/>
      </c>
      <c r="M627" s="5"/>
      <c r="N627" s="3">
        <f t="shared" si="96"/>
        <v>0</v>
      </c>
      <c r="O627" s="5"/>
      <c r="P627" s="3">
        <f t="shared" si="97"/>
        <v>0</v>
      </c>
      <c r="Q627" s="3">
        <f t="shared" si="93"/>
        <v>0</v>
      </c>
      <c r="T627" s="27" t="str">
        <f t="shared" si="89"/>
        <v/>
      </c>
      <c r="U627" s="1" t="str">
        <f t="shared" si="94"/>
        <v/>
      </c>
    </row>
    <row r="628" spans="2:21" hidden="1">
      <c r="B628" s="1">
        <f t="shared" si="95"/>
        <v>624</v>
      </c>
      <c r="C628" s="2"/>
      <c r="D628" s="2" t="str">
        <f t="shared" si="90"/>
        <v/>
      </c>
      <c r="E628" s="1" t="str">
        <f t="shared" si="91"/>
        <v/>
      </c>
      <c r="F628" s="1" t="str">
        <f t="shared" si="92"/>
        <v/>
      </c>
      <c r="H628" s="1" t="str">
        <f>IFERROR((VLOOKUP(G628,Backdata!G:H,2,0)),"")</f>
        <v/>
      </c>
      <c r="M628" s="5"/>
      <c r="N628" s="3">
        <f t="shared" si="96"/>
        <v>0</v>
      </c>
      <c r="O628" s="5"/>
      <c r="P628" s="3">
        <f t="shared" si="97"/>
        <v>0</v>
      </c>
      <c r="Q628" s="3">
        <f t="shared" si="93"/>
        <v>0</v>
      </c>
      <c r="T628" s="27" t="str">
        <f t="shared" si="89"/>
        <v/>
      </c>
      <c r="U628" s="1" t="str">
        <f t="shared" si="94"/>
        <v/>
      </c>
    </row>
    <row r="629" spans="2:21" hidden="1">
      <c r="B629" s="1">
        <f t="shared" si="95"/>
        <v>625</v>
      </c>
      <c r="C629" s="2"/>
      <c r="D629" s="2" t="str">
        <f t="shared" si="90"/>
        <v/>
      </c>
      <c r="E629" s="1" t="str">
        <f t="shared" si="91"/>
        <v/>
      </c>
      <c r="F629" s="1" t="str">
        <f t="shared" si="92"/>
        <v/>
      </c>
      <c r="H629" s="1" t="str">
        <f>IFERROR((VLOOKUP(G629,Backdata!G:H,2,0)),"")</f>
        <v/>
      </c>
      <c r="M629" s="5"/>
      <c r="N629" s="3">
        <f t="shared" si="96"/>
        <v>0</v>
      </c>
      <c r="O629" s="5"/>
      <c r="P629" s="3">
        <f t="shared" si="97"/>
        <v>0</v>
      </c>
      <c r="Q629" s="3">
        <f t="shared" si="93"/>
        <v>0</v>
      </c>
      <c r="T629" s="27" t="str">
        <f t="shared" si="89"/>
        <v/>
      </c>
      <c r="U629" s="1" t="str">
        <f t="shared" si="94"/>
        <v/>
      </c>
    </row>
    <row r="630" spans="2:21" hidden="1">
      <c r="B630" s="1">
        <f t="shared" si="95"/>
        <v>626</v>
      </c>
      <c r="C630" s="2"/>
      <c r="D630" s="2" t="str">
        <f t="shared" si="90"/>
        <v/>
      </c>
      <c r="E630" s="1" t="str">
        <f t="shared" si="91"/>
        <v/>
      </c>
      <c r="F630" s="1" t="str">
        <f t="shared" si="92"/>
        <v/>
      </c>
      <c r="H630" s="1" t="str">
        <f>IFERROR((VLOOKUP(G630,Backdata!G:H,2,0)),"")</f>
        <v/>
      </c>
      <c r="M630" s="5"/>
      <c r="N630" s="3">
        <f t="shared" si="96"/>
        <v>0</v>
      </c>
      <c r="O630" s="5"/>
      <c r="P630" s="3">
        <f t="shared" si="97"/>
        <v>0</v>
      </c>
      <c r="Q630" s="3">
        <f t="shared" si="93"/>
        <v>0</v>
      </c>
      <c r="T630" s="27" t="str">
        <f t="shared" si="89"/>
        <v/>
      </c>
      <c r="U630" s="1" t="str">
        <f t="shared" si="94"/>
        <v/>
      </c>
    </row>
    <row r="631" spans="2:21" hidden="1">
      <c r="B631" s="1">
        <f t="shared" si="95"/>
        <v>627</v>
      </c>
      <c r="C631" s="2"/>
      <c r="D631" s="2" t="str">
        <f t="shared" si="90"/>
        <v/>
      </c>
      <c r="E631" s="1" t="str">
        <f t="shared" si="91"/>
        <v/>
      </c>
      <c r="F631" s="1" t="str">
        <f t="shared" si="92"/>
        <v/>
      </c>
      <c r="H631" s="1" t="str">
        <f>IFERROR((VLOOKUP(G631,Backdata!G:H,2,0)),"")</f>
        <v/>
      </c>
      <c r="M631" s="5"/>
      <c r="N631" s="3">
        <f t="shared" si="96"/>
        <v>0</v>
      </c>
      <c r="O631" s="5"/>
      <c r="P631" s="3">
        <f t="shared" si="97"/>
        <v>0</v>
      </c>
      <c r="Q631" s="3">
        <f t="shared" si="93"/>
        <v>0</v>
      </c>
      <c r="T631" s="27" t="str">
        <f t="shared" si="89"/>
        <v/>
      </c>
      <c r="U631" s="1" t="str">
        <f t="shared" si="94"/>
        <v/>
      </c>
    </row>
    <row r="632" spans="2:21" hidden="1">
      <c r="B632" s="1">
        <f t="shared" si="95"/>
        <v>628</v>
      </c>
      <c r="C632" s="2"/>
      <c r="D632" s="2" t="str">
        <f t="shared" si="90"/>
        <v/>
      </c>
      <c r="E632" s="1" t="str">
        <f t="shared" si="91"/>
        <v/>
      </c>
      <c r="F632" s="1" t="str">
        <f t="shared" si="92"/>
        <v/>
      </c>
      <c r="H632" s="1" t="str">
        <f>IFERROR((VLOOKUP(G632,Backdata!G:H,2,0)),"")</f>
        <v/>
      </c>
      <c r="M632" s="5"/>
      <c r="N632" s="3">
        <f t="shared" si="96"/>
        <v>0</v>
      </c>
      <c r="O632" s="5"/>
      <c r="P632" s="3">
        <f t="shared" si="97"/>
        <v>0</v>
      </c>
      <c r="Q632" s="3">
        <f t="shared" si="93"/>
        <v>0</v>
      </c>
      <c r="T632" s="27" t="str">
        <f t="shared" si="89"/>
        <v/>
      </c>
      <c r="U632" s="1" t="str">
        <f t="shared" si="94"/>
        <v/>
      </c>
    </row>
    <row r="633" spans="2:21" hidden="1">
      <c r="B633" s="1">
        <f t="shared" si="95"/>
        <v>629</v>
      </c>
      <c r="C633" s="2"/>
      <c r="D633" s="2" t="str">
        <f t="shared" si="90"/>
        <v/>
      </c>
      <c r="E633" s="1" t="str">
        <f t="shared" si="91"/>
        <v/>
      </c>
      <c r="F633" s="1" t="str">
        <f t="shared" si="92"/>
        <v/>
      </c>
      <c r="H633" s="1" t="str">
        <f>IFERROR((VLOOKUP(G633,Backdata!G:H,2,0)),"")</f>
        <v/>
      </c>
      <c r="M633" s="5"/>
      <c r="N633" s="3">
        <f t="shared" si="96"/>
        <v>0</v>
      </c>
      <c r="O633" s="5"/>
      <c r="P633" s="3">
        <f t="shared" si="97"/>
        <v>0</v>
      </c>
      <c r="Q633" s="3">
        <f t="shared" si="93"/>
        <v>0</v>
      </c>
      <c r="T633" s="27" t="str">
        <f t="shared" ref="T633:T694" si="98">IF(OR(I633="타이어",I633=""),"",C633)</f>
        <v/>
      </c>
      <c r="U633" s="1" t="str">
        <f t="shared" si="94"/>
        <v/>
      </c>
    </row>
    <row r="634" spans="2:21" hidden="1">
      <c r="B634" s="1">
        <f t="shared" si="95"/>
        <v>630</v>
      </c>
      <c r="C634" s="2"/>
      <c r="D634" s="2" t="str">
        <f t="shared" si="90"/>
        <v/>
      </c>
      <c r="E634" s="1" t="str">
        <f t="shared" si="91"/>
        <v/>
      </c>
      <c r="F634" s="1" t="str">
        <f t="shared" si="92"/>
        <v/>
      </c>
      <c r="H634" s="1" t="str">
        <f>IFERROR((VLOOKUP(G634,Backdata!G:H,2,0)),"")</f>
        <v/>
      </c>
      <c r="M634" s="5"/>
      <c r="N634" s="3">
        <f t="shared" si="96"/>
        <v>0</v>
      </c>
      <c r="O634" s="5"/>
      <c r="P634" s="3">
        <f t="shared" si="97"/>
        <v>0</v>
      </c>
      <c r="Q634" s="3">
        <f t="shared" si="93"/>
        <v>0</v>
      </c>
      <c r="T634" s="27" t="str">
        <f t="shared" si="98"/>
        <v/>
      </c>
      <c r="U634" s="1" t="str">
        <f t="shared" si="94"/>
        <v/>
      </c>
    </row>
    <row r="635" spans="2:21" hidden="1">
      <c r="B635" s="1">
        <f t="shared" si="95"/>
        <v>631</v>
      </c>
      <c r="C635" s="2"/>
      <c r="D635" s="2" t="str">
        <f t="shared" si="90"/>
        <v/>
      </c>
      <c r="E635" s="1" t="str">
        <f t="shared" si="91"/>
        <v/>
      </c>
      <c r="F635" s="1" t="str">
        <f t="shared" si="92"/>
        <v/>
      </c>
      <c r="H635" s="1" t="str">
        <f>IFERROR((VLOOKUP(G635,Backdata!G:H,2,0)),"")</f>
        <v/>
      </c>
      <c r="M635" s="5"/>
      <c r="N635" s="3">
        <f t="shared" si="96"/>
        <v>0</v>
      </c>
      <c r="O635" s="5"/>
      <c r="P635" s="3">
        <f t="shared" si="97"/>
        <v>0</v>
      </c>
      <c r="Q635" s="3">
        <f t="shared" si="93"/>
        <v>0</v>
      </c>
      <c r="T635" s="27" t="str">
        <f t="shared" si="98"/>
        <v/>
      </c>
      <c r="U635" s="1" t="str">
        <f t="shared" si="94"/>
        <v/>
      </c>
    </row>
    <row r="636" spans="2:21" hidden="1">
      <c r="B636" s="1">
        <f t="shared" si="95"/>
        <v>632</v>
      </c>
      <c r="C636" s="2"/>
      <c r="D636" s="2" t="str">
        <f t="shared" si="90"/>
        <v/>
      </c>
      <c r="E636" s="1" t="str">
        <f t="shared" si="91"/>
        <v/>
      </c>
      <c r="F636" s="1" t="str">
        <f t="shared" si="92"/>
        <v/>
      </c>
      <c r="H636" s="1" t="str">
        <f>IFERROR((VLOOKUP(G636,Backdata!G:H,2,0)),"")</f>
        <v/>
      </c>
      <c r="M636" s="5"/>
      <c r="N636" s="3">
        <f t="shared" si="96"/>
        <v>0</v>
      </c>
      <c r="O636" s="5"/>
      <c r="P636" s="3">
        <f t="shared" si="97"/>
        <v>0</v>
      </c>
      <c r="Q636" s="3">
        <f t="shared" si="93"/>
        <v>0</v>
      </c>
      <c r="T636" s="27" t="str">
        <f t="shared" si="98"/>
        <v/>
      </c>
      <c r="U636" s="1" t="str">
        <f t="shared" si="94"/>
        <v/>
      </c>
    </row>
    <row r="637" spans="2:21" hidden="1">
      <c r="B637" s="1">
        <f t="shared" si="95"/>
        <v>633</v>
      </c>
      <c r="C637" s="2"/>
      <c r="D637" s="2" t="str">
        <f t="shared" si="90"/>
        <v/>
      </c>
      <c r="E637" s="1" t="str">
        <f t="shared" si="91"/>
        <v/>
      </c>
      <c r="F637" s="1" t="str">
        <f t="shared" si="92"/>
        <v/>
      </c>
      <c r="H637" s="1" t="str">
        <f>IFERROR((VLOOKUP(G637,Backdata!G:H,2,0)),"")</f>
        <v/>
      </c>
      <c r="M637" s="5"/>
      <c r="N637" s="3">
        <f t="shared" si="96"/>
        <v>0</v>
      </c>
      <c r="O637" s="5"/>
      <c r="P637" s="3">
        <f t="shared" si="97"/>
        <v>0</v>
      </c>
      <c r="Q637" s="3">
        <f t="shared" si="93"/>
        <v>0</v>
      </c>
      <c r="T637" s="27" t="str">
        <f t="shared" si="98"/>
        <v/>
      </c>
      <c r="U637" s="1" t="str">
        <f t="shared" si="94"/>
        <v/>
      </c>
    </row>
    <row r="638" spans="2:21" hidden="1">
      <c r="B638" s="1">
        <f t="shared" si="95"/>
        <v>634</v>
      </c>
      <c r="C638" s="2"/>
      <c r="D638" s="2" t="str">
        <f t="shared" si="90"/>
        <v/>
      </c>
      <c r="E638" s="1" t="str">
        <f t="shared" si="91"/>
        <v/>
      </c>
      <c r="F638" s="1" t="str">
        <f t="shared" si="92"/>
        <v/>
      </c>
      <c r="H638" s="1" t="str">
        <f>IFERROR((VLOOKUP(G638,Backdata!G:H,2,0)),"")</f>
        <v/>
      </c>
      <c r="M638" s="5"/>
      <c r="N638" s="3">
        <f t="shared" si="96"/>
        <v>0</v>
      </c>
      <c r="O638" s="5"/>
      <c r="P638" s="3">
        <f t="shared" si="97"/>
        <v>0</v>
      </c>
      <c r="Q638" s="3">
        <f t="shared" si="93"/>
        <v>0</v>
      </c>
      <c r="T638" s="27" t="str">
        <f t="shared" si="98"/>
        <v/>
      </c>
      <c r="U638" s="1" t="str">
        <f t="shared" si="94"/>
        <v/>
      </c>
    </row>
    <row r="639" spans="2:21" hidden="1">
      <c r="B639" s="1">
        <f t="shared" si="95"/>
        <v>635</v>
      </c>
      <c r="C639" s="2"/>
      <c r="D639" s="2" t="str">
        <f t="shared" si="90"/>
        <v/>
      </c>
      <c r="E639" s="1" t="str">
        <f t="shared" si="91"/>
        <v/>
      </c>
      <c r="F639" s="1" t="str">
        <f t="shared" si="92"/>
        <v/>
      </c>
      <c r="H639" s="1" t="str">
        <f>IFERROR((VLOOKUP(G639,Backdata!G:H,2,0)),"")</f>
        <v/>
      </c>
      <c r="M639" s="5"/>
      <c r="N639" s="3">
        <f t="shared" si="96"/>
        <v>0</v>
      </c>
      <c r="O639" s="5"/>
      <c r="P639" s="3">
        <f t="shared" si="97"/>
        <v>0</v>
      </c>
      <c r="Q639" s="3">
        <f t="shared" si="93"/>
        <v>0</v>
      </c>
      <c r="T639" s="27" t="str">
        <f t="shared" si="98"/>
        <v/>
      </c>
      <c r="U639" s="1" t="str">
        <f t="shared" si="94"/>
        <v/>
      </c>
    </row>
    <row r="640" spans="2:21" hidden="1">
      <c r="B640" s="1">
        <f t="shared" si="95"/>
        <v>636</v>
      </c>
      <c r="C640" s="2"/>
      <c r="D640" s="2" t="str">
        <f t="shared" si="90"/>
        <v/>
      </c>
      <c r="E640" s="1" t="str">
        <f t="shared" si="91"/>
        <v/>
      </c>
      <c r="F640" s="1" t="str">
        <f t="shared" si="92"/>
        <v/>
      </c>
      <c r="H640" s="1" t="str">
        <f>IFERROR((VLOOKUP(G640,Backdata!G:H,2,0)),"")</f>
        <v/>
      </c>
      <c r="M640" s="5"/>
      <c r="N640" s="3">
        <f t="shared" si="96"/>
        <v>0</v>
      </c>
      <c r="O640" s="5"/>
      <c r="P640" s="3">
        <f t="shared" si="97"/>
        <v>0</v>
      </c>
      <c r="Q640" s="3">
        <f t="shared" si="93"/>
        <v>0</v>
      </c>
      <c r="T640" s="27" t="str">
        <f t="shared" si="98"/>
        <v/>
      </c>
      <c r="U640" s="1" t="str">
        <f t="shared" si="94"/>
        <v/>
      </c>
    </row>
    <row r="641" spans="2:21" hidden="1">
      <c r="B641" s="1">
        <f t="shared" si="95"/>
        <v>637</v>
      </c>
      <c r="C641" s="2"/>
      <c r="D641" s="2" t="str">
        <f t="shared" si="90"/>
        <v/>
      </c>
      <c r="E641" s="1" t="str">
        <f t="shared" si="91"/>
        <v/>
      </c>
      <c r="F641" s="1" t="str">
        <f t="shared" si="92"/>
        <v/>
      </c>
      <c r="H641" s="1" t="str">
        <f>IFERROR((VLOOKUP(G641,Backdata!G:H,2,0)),"")</f>
        <v/>
      </c>
      <c r="M641" s="5"/>
      <c r="N641" s="3">
        <f t="shared" si="96"/>
        <v>0</v>
      </c>
      <c r="O641" s="5"/>
      <c r="P641" s="3">
        <f t="shared" si="97"/>
        <v>0</v>
      </c>
      <c r="Q641" s="3">
        <f t="shared" si="93"/>
        <v>0</v>
      </c>
      <c r="T641" s="27" t="str">
        <f t="shared" si="98"/>
        <v/>
      </c>
      <c r="U641" s="1" t="str">
        <f t="shared" si="94"/>
        <v/>
      </c>
    </row>
    <row r="642" spans="2:21" hidden="1">
      <c r="B642" s="1">
        <f t="shared" si="95"/>
        <v>638</v>
      </c>
      <c r="C642" s="2"/>
      <c r="D642" s="2" t="str">
        <f t="shared" si="90"/>
        <v/>
      </c>
      <c r="E642" s="1" t="str">
        <f t="shared" si="91"/>
        <v/>
      </c>
      <c r="F642" s="1" t="str">
        <f t="shared" si="92"/>
        <v/>
      </c>
      <c r="H642" s="1" t="str">
        <f>IFERROR((VLOOKUP(G642,Backdata!G:H,2,0)),"")</f>
        <v/>
      </c>
      <c r="M642" s="5"/>
      <c r="N642" s="3">
        <f t="shared" si="96"/>
        <v>0</v>
      </c>
      <c r="O642" s="5"/>
      <c r="P642" s="3">
        <f t="shared" si="97"/>
        <v>0</v>
      </c>
      <c r="Q642" s="3">
        <f t="shared" si="93"/>
        <v>0</v>
      </c>
      <c r="T642" s="27" t="str">
        <f t="shared" si="98"/>
        <v/>
      </c>
      <c r="U642" s="1" t="str">
        <f t="shared" si="94"/>
        <v/>
      </c>
    </row>
    <row r="643" spans="2:21" hidden="1">
      <c r="B643" s="1">
        <f t="shared" si="95"/>
        <v>639</v>
      </c>
      <c r="C643" s="2"/>
      <c r="D643" s="2" t="str">
        <f t="shared" si="90"/>
        <v/>
      </c>
      <c r="E643" s="1" t="str">
        <f t="shared" si="91"/>
        <v/>
      </c>
      <c r="F643" s="1" t="str">
        <f t="shared" si="92"/>
        <v/>
      </c>
      <c r="H643" s="1" t="str">
        <f>IFERROR((VLOOKUP(G643,Backdata!G:H,2,0)),"")</f>
        <v/>
      </c>
      <c r="M643" s="5"/>
      <c r="N643" s="3">
        <f t="shared" si="96"/>
        <v>0</v>
      </c>
      <c r="O643" s="5"/>
      <c r="P643" s="3">
        <f t="shared" si="97"/>
        <v>0</v>
      </c>
      <c r="Q643" s="3">
        <f t="shared" si="93"/>
        <v>0</v>
      </c>
      <c r="T643" s="27" t="str">
        <f t="shared" si="98"/>
        <v/>
      </c>
      <c r="U643" s="1" t="str">
        <f t="shared" si="94"/>
        <v/>
      </c>
    </row>
    <row r="644" spans="2:21" hidden="1">
      <c r="B644" s="1">
        <f t="shared" si="95"/>
        <v>640</v>
      </c>
      <c r="C644" s="2"/>
      <c r="D644" s="2" t="str">
        <f t="shared" si="90"/>
        <v/>
      </c>
      <c r="E644" s="1" t="str">
        <f t="shared" si="91"/>
        <v/>
      </c>
      <c r="F644" s="1" t="str">
        <f t="shared" si="92"/>
        <v/>
      </c>
      <c r="H644" s="1" t="str">
        <f>IFERROR((VLOOKUP(G644,Backdata!G:H,2,0)),"")</f>
        <v/>
      </c>
      <c r="M644" s="5"/>
      <c r="N644" s="3">
        <f t="shared" si="96"/>
        <v>0</v>
      </c>
      <c r="O644" s="5"/>
      <c r="P644" s="3">
        <f t="shared" si="97"/>
        <v>0</v>
      </c>
      <c r="Q644" s="3">
        <f t="shared" si="93"/>
        <v>0</v>
      </c>
      <c r="T644" s="27" t="str">
        <f t="shared" si="98"/>
        <v/>
      </c>
      <c r="U644" s="1" t="str">
        <f t="shared" si="94"/>
        <v/>
      </c>
    </row>
    <row r="645" spans="2:21" hidden="1">
      <c r="B645" s="1">
        <f t="shared" si="95"/>
        <v>641</v>
      </c>
      <c r="C645" s="2"/>
      <c r="D645" s="2" t="str">
        <f t="shared" ref="D645:D694" si="99">IF((C645=""),"",(YEAR(C645)&amp;"년"))</f>
        <v/>
      </c>
      <c r="E645" s="1" t="str">
        <f t="shared" ref="E645:E694" si="100">IF((C645=""),"",(MONTH(C645)&amp;"월"))</f>
        <v/>
      </c>
      <c r="F645" s="1" t="str">
        <f t="shared" ref="F645:F694" si="101">CONCATENATE(D645,E645)</f>
        <v/>
      </c>
      <c r="H645" s="1" t="str">
        <f>IFERROR((VLOOKUP(G645,Backdata!G:H,2,0)),"")</f>
        <v/>
      </c>
      <c r="M645" s="5"/>
      <c r="N645" s="3">
        <f t="shared" si="96"/>
        <v>0</v>
      </c>
      <c r="O645" s="5"/>
      <c r="P645" s="3">
        <f t="shared" si="97"/>
        <v>0</v>
      </c>
      <c r="Q645" s="3">
        <f t="shared" ref="Q645:Q694" si="102">N645-P645</f>
        <v>0</v>
      </c>
      <c r="T645" s="27" t="str">
        <f t="shared" si="98"/>
        <v/>
      </c>
      <c r="U645" s="1" t="str">
        <f t="shared" ref="U645:U694" si="103">IF(T645="","","완료")</f>
        <v/>
      </c>
    </row>
    <row r="646" spans="2:21" hidden="1">
      <c r="B646" s="1">
        <f t="shared" ref="B646:B694" si="104">B645+1</f>
        <v>642</v>
      </c>
      <c r="C646" s="2"/>
      <c r="D646" s="2" t="str">
        <f t="shared" si="99"/>
        <v/>
      </c>
      <c r="E646" s="1" t="str">
        <f t="shared" si="100"/>
        <v/>
      </c>
      <c r="F646" s="1" t="str">
        <f t="shared" si="101"/>
        <v/>
      </c>
      <c r="H646" s="1" t="str">
        <f>IFERROR((VLOOKUP(G646,Backdata!G:H,2,0)),"")</f>
        <v/>
      </c>
      <c r="M646" s="5"/>
      <c r="N646" s="3">
        <f t="shared" ref="N646:N694" si="105">M646*L646*1.1</f>
        <v>0</v>
      </c>
      <c r="O646" s="5"/>
      <c r="P646" s="3">
        <f t="shared" ref="P646:P694" si="106">O646*L646*1.1</f>
        <v>0</v>
      </c>
      <c r="Q646" s="3">
        <f t="shared" si="102"/>
        <v>0</v>
      </c>
      <c r="T646" s="27" t="str">
        <f t="shared" si="98"/>
        <v/>
      </c>
      <c r="U646" s="1" t="str">
        <f t="shared" si="103"/>
        <v/>
      </c>
    </row>
    <row r="647" spans="2:21" hidden="1">
      <c r="B647" s="1">
        <f t="shared" si="104"/>
        <v>643</v>
      </c>
      <c r="C647" s="2"/>
      <c r="D647" s="2" t="str">
        <f t="shared" si="99"/>
        <v/>
      </c>
      <c r="E647" s="1" t="str">
        <f t="shared" si="100"/>
        <v/>
      </c>
      <c r="F647" s="1" t="str">
        <f t="shared" si="101"/>
        <v/>
      </c>
      <c r="H647" s="1" t="str">
        <f>IFERROR((VLOOKUP(G647,Backdata!G:H,2,0)),"")</f>
        <v/>
      </c>
      <c r="M647" s="5"/>
      <c r="N647" s="3">
        <f t="shared" si="105"/>
        <v>0</v>
      </c>
      <c r="O647" s="5"/>
      <c r="P647" s="3">
        <f t="shared" si="106"/>
        <v>0</v>
      </c>
      <c r="Q647" s="3">
        <f t="shared" si="102"/>
        <v>0</v>
      </c>
      <c r="T647" s="27" t="str">
        <f t="shared" si="98"/>
        <v/>
      </c>
      <c r="U647" s="1" t="str">
        <f t="shared" si="103"/>
        <v/>
      </c>
    </row>
    <row r="648" spans="2:21" hidden="1">
      <c r="B648" s="1">
        <f t="shared" si="104"/>
        <v>644</v>
      </c>
      <c r="C648" s="2"/>
      <c r="D648" s="2" t="str">
        <f t="shared" si="99"/>
        <v/>
      </c>
      <c r="E648" s="1" t="str">
        <f t="shared" si="100"/>
        <v/>
      </c>
      <c r="F648" s="1" t="str">
        <f t="shared" si="101"/>
        <v/>
      </c>
      <c r="H648" s="1" t="str">
        <f>IFERROR((VLOOKUP(G648,Backdata!G:H,2,0)),"")</f>
        <v/>
      </c>
      <c r="M648" s="5"/>
      <c r="N648" s="3">
        <f t="shared" si="105"/>
        <v>0</v>
      </c>
      <c r="O648" s="5"/>
      <c r="P648" s="3">
        <f t="shared" si="106"/>
        <v>0</v>
      </c>
      <c r="Q648" s="3">
        <f t="shared" si="102"/>
        <v>0</v>
      </c>
      <c r="T648" s="27" t="str">
        <f t="shared" si="98"/>
        <v/>
      </c>
      <c r="U648" s="1" t="str">
        <f t="shared" si="103"/>
        <v/>
      </c>
    </row>
    <row r="649" spans="2:21" hidden="1">
      <c r="B649" s="1">
        <f t="shared" si="104"/>
        <v>645</v>
      </c>
      <c r="C649" s="2"/>
      <c r="D649" s="2" t="str">
        <f t="shared" si="99"/>
        <v/>
      </c>
      <c r="E649" s="1" t="str">
        <f t="shared" si="100"/>
        <v/>
      </c>
      <c r="F649" s="1" t="str">
        <f t="shared" si="101"/>
        <v/>
      </c>
      <c r="H649" s="1" t="str">
        <f>IFERROR((VLOOKUP(G649,Backdata!G:H,2,0)),"")</f>
        <v/>
      </c>
      <c r="M649" s="5"/>
      <c r="N649" s="3">
        <f t="shared" si="105"/>
        <v>0</v>
      </c>
      <c r="O649" s="5"/>
      <c r="P649" s="3">
        <f t="shared" si="106"/>
        <v>0</v>
      </c>
      <c r="Q649" s="3">
        <f t="shared" si="102"/>
        <v>0</v>
      </c>
      <c r="T649" s="27" t="str">
        <f t="shared" si="98"/>
        <v/>
      </c>
      <c r="U649" s="1" t="str">
        <f t="shared" si="103"/>
        <v/>
      </c>
    </row>
    <row r="650" spans="2:21" hidden="1">
      <c r="B650" s="1">
        <f t="shared" si="104"/>
        <v>646</v>
      </c>
      <c r="C650" s="2"/>
      <c r="D650" s="2" t="str">
        <f t="shared" si="99"/>
        <v/>
      </c>
      <c r="E650" s="1" t="str">
        <f t="shared" si="100"/>
        <v/>
      </c>
      <c r="F650" s="1" t="str">
        <f t="shared" si="101"/>
        <v/>
      </c>
      <c r="H650" s="1" t="str">
        <f>IFERROR((VLOOKUP(G650,Backdata!G:H,2,0)),"")</f>
        <v/>
      </c>
      <c r="M650" s="5"/>
      <c r="N650" s="3">
        <f t="shared" si="105"/>
        <v>0</v>
      </c>
      <c r="O650" s="5"/>
      <c r="P650" s="3">
        <f t="shared" si="106"/>
        <v>0</v>
      </c>
      <c r="Q650" s="3">
        <f t="shared" si="102"/>
        <v>0</v>
      </c>
      <c r="T650" s="27" t="str">
        <f t="shared" si="98"/>
        <v/>
      </c>
      <c r="U650" s="1" t="str">
        <f t="shared" si="103"/>
        <v/>
      </c>
    </row>
    <row r="651" spans="2:21" hidden="1">
      <c r="B651" s="1">
        <f t="shared" si="104"/>
        <v>647</v>
      </c>
      <c r="C651" s="2"/>
      <c r="D651" s="2" t="str">
        <f t="shared" si="99"/>
        <v/>
      </c>
      <c r="E651" s="1" t="str">
        <f t="shared" si="100"/>
        <v/>
      </c>
      <c r="F651" s="1" t="str">
        <f t="shared" si="101"/>
        <v/>
      </c>
      <c r="H651" s="1" t="str">
        <f>IFERROR((VLOOKUP(G651,Backdata!G:H,2,0)),"")</f>
        <v/>
      </c>
      <c r="M651" s="5"/>
      <c r="N651" s="3">
        <f t="shared" si="105"/>
        <v>0</v>
      </c>
      <c r="O651" s="5"/>
      <c r="P651" s="3">
        <f t="shared" si="106"/>
        <v>0</v>
      </c>
      <c r="Q651" s="3">
        <f t="shared" si="102"/>
        <v>0</v>
      </c>
      <c r="T651" s="27" t="str">
        <f t="shared" si="98"/>
        <v/>
      </c>
      <c r="U651" s="1" t="str">
        <f t="shared" si="103"/>
        <v/>
      </c>
    </row>
    <row r="652" spans="2:21" hidden="1">
      <c r="B652" s="1">
        <f t="shared" si="104"/>
        <v>648</v>
      </c>
      <c r="C652" s="2"/>
      <c r="D652" s="2" t="str">
        <f t="shared" si="99"/>
        <v/>
      </c>
      <c r="E652" s="1" t="str">
        <f t="shared" si="100"/>
        <v/>
      </c>
      <c r="F652" s="1" t="str">
        <f t="shared" si="101"/>
        <v/>
      </c>
      <c r="H652" s="1" t="str">
        <f>IFERROR((VLOOKUP(G652,Backdata!G:H,2,0)),"")</f>
        <v/>
      </c>
      <c r="M652" s="5"/>
      <c r="N652" s="3">
        <f t="shared" si="105"/>
        <v>0</v>
      </c>
      <c r="O652" s="5"/>
      <c r="P652" s="3">
        <f t="shared" si="106"/>
        <v>0</v>
      </c>
      <c r="Q652" s="3">
        <f t="shared" si="102"/>
        <v>0</v>
      </c>
      <c r="T652" s="27" t="str">
        <f t="shared" si="98"/>
        <v/>
      </c>
      <c r="U652" s="1" t="str">
        <f t="shared" si="103"/>
        <v/>
      </c>
    </row>
    <row r="653" spans="2:21" hidden="1">
      <c r="B653" s="1">
        <f t="shared" si="104"/>
        <v>649</v>
      </c>
      <c r="C653" s="2"/>
      <c r="D653" s="2" t="str">
        <f t="shared" si="99"/>
        <v/>
      </c>
      <c r="E653" s="1" t="str">
        <f t="shared" si="100"/>
        <v/>
      </c>
      <c r="F653" s="1" t="str">
        <f t="shared" si="101"/>
        <v/>
      </c>
      <c r="H653" s="1" t="str">
        <f>IFERROR((VLOOKUP(G653,Backdata!G:H,2,0)),"")</f>
        <v/>
      </c>
      <c r="M653" s="5"/>
      <c r="N653" s="3">
        <f t="shared" si="105"/>
        <v>0</v>
      </c>
      <c r="O653" s="5"/>
      <c r="P653" s="3">
        <f t="shared" si="106"/>
        <v>0</v>
      </c>
      <c r="Q653" s="3">
        <f t="shared" si="102"/>
        <v>0</v>
      </c>
      <c r="T653" s="27" t="str">
        <f t="shared" si="98"/>
        <v/>
      </c>
      <c r="U653" s="1" t="str">
        <f t="shared" si="103"/>
        <v/>
      </c>
    </row>
    <row r="654" spans="2:21" hidden="1">
      <c r="B654" s="1">
        <f t="shared" si="104"/>
        <v>650</v>
      </c>
      <c r="C654" s="2"/>
      <c r="D654" s="2" t="str">
        <f t="shared" si="99"/>
        <v/>
      </c>
      <c r="E654" s="1" t="str">
        <f t="shared" si="100"/>
        <v/>
      </c>
      <c r="F654" s="1" t="str">
        <f t="shared" si="101"/>
        <v/>
      </c>
      <c r="H654" s="1" t="str">
        <f>IFERROR((VLOOKUP(G654,Backdata!G:H,2,0)),"")</f>
        <v/>
      </c>
      <c r="M654" s="5"/>
      <c r="N654" s="3">
        <f t="shared" si="105"/>
        <v>0</v>
      </c>
      <c r="O654" s="5"/>
      <c r="P654" s="3">
        <f t="shared" si="106"/>
        <v>0</v>
      </c>
      <c r="Q654" s="3">
        <f t="shared" si="102"/>
        <v>0</v>
      </c>
      <c r="T654" s="27" t="str">
        <f t="shared" si="98"/>
        <v/>
      </c>
      <c r="U654" s="1" t="str">
        <f t="shared" si="103"/>
        <v/>
      </c>
    </row>
    <row r="655" spans="2:21" hidden="1">
      <c r="B655" s="1">
        <f t="shared" si="104"/>
        <v>651</v>
      </c>
      <c r="C655" s="2"/>
      <c r="D655" s="2" t="str">
        <f t="shared" si="99"/>
        <v/>
      </c>
      <c r="E655" s="1" t="str">
        <f t="shared" si="100"/>
        <v/>
      </c>
      <c r="F655" s="1" t="str">
        <f t="shared" si="101"/>
        <v/>
      </c>
      <c r="H655" s="1" t="str">
        <f>IFERROR((VLOOKUP(G655,Backdata!G:H,2,0)),"")</f>
        <v/>
      </c>
      <c r="M655" s="5"/>
      <c r="N655" s="3">
        <f t="shared" si="105"/>
        <v>0</v>
      </c>
      <c r="O655" s="5"/>
      <c r="P655" s="3">
        <f t="shared" si="106"/>
        <v>0</v>
      </c>
      <c r="Q655" s="3">
        <f t="shared" si="102"/>
        <v>0</v>
      </c>
      <c r="T655" s="27" t="str">
        <f t="shared" si="98"/>
        <v/>
      </c>
      <c r="U655" s="1" t="str">
        <f t="shared" si="103"/>
        <v/>
      </c>
    </row>
    <row r="656" spans="2:21" hidden="1">
      <c r="B656" s="1">
        <f t="shared" si="104"/>
        <v>652</v>
      </c>
      <c r="C656" s="2"/>
      <c r="D656" s="2" t="str">
        <f t="shared" si="99"/>
        <v/>
      </c>
      <c r="E656" s="1" t="str">
        <f t="shared" si="100"/>
        <v/>
      </c>
      <c r="F656" s="1" t="str">
        <f t="shared" si="101"/>
        <v/>
      </c>
      <c r="H656" s="1" t="str">
        <f>IFERROR((VLOOKUP(G656,Backdata!G:H,2,0)),"")</f>
        <v/>
      </c>
      <c r="M656" s="5"/>
      <c r="N656" s="3">
        <f t="shared" si="105"/>
        <v>0</v>
      </c>
      <c r="O656" s="5"/>
      <c r="P656" s="3">
        <f t="shared" si="106"/>
        <v>0</v>
      </c>
      <c r="Q656" s="3">
        <f t="shared" si="102"/>
        <v>0</v>
      </c>
      <c r="T656" s="27" t="str">
        <f t="shared" si="98"/>
        <v/>
      </c>
      <c r="U656" s="1" t="str">
        <f t="shared" si="103"/>
        <v/>
      </c>
    </row>
    <row r="657" spans="2:21" hidden="1">
      <c r="B657" s="1">
        <f t="shared" si="104"/>
        <v>653</v>
      </c>
      <c r="C657" s="2"/>
      <c r="D657" s="2" t="str">
        <f t="shared" si="99"/>
        <v/>
      </c>
      <c r="E657" s="1" t="str">
        <f t="shared" si="100"/>
        <v/>
      </c>
      <c r="F657" s="1" t="str">
        <f t="shared" si="101"/>
        <v/>
      </c>
      <c r="H657" s="1" t="str">
        <f>IFERROR((VLOOKUP(G657,Backdata!G:H,2,0)),"")</f>
        <v/>
      </c>
      <c r="M657" s="5"/>
      <c r="N657" s="3">
        <f t="shared" si="105"/>
        <v>0</v>
      </c>
      <c r="O657" s="5"/>
      <c r="P657" s="3">
        <f t="shared" si="106"/>
        <v>0</v>
      </c>
      <c r="Q657" s="3">
        <f t="shared" si="102"/>
        <v>0</v>
      </c>
      <c r="T657" s="27" t="str">
        <f t="shared" si="98"/>
        <v/>
      </c>
      <c r="U657" s="1" t="str">
        <f t="shared" si="103"/>
        <v/>
      </c>
    </row>
    <row r="658" spans="2:21" hidden="1">
      <c r="B658" s="1">
        <f t="shared" si="104"/>
        <v>654</v>
      </c>
      <c r="C658" s="2"/>
      <c r="D658" s="2" t="str">
        <f t="shared" si="99"/>
        <v/>
      </c>
      <c r="E658" s="1" t="str">
        <f t="shared" si="100"/>
        <v/>
      </c>
      <c r="F658" s="1" t="str">
        <f t="shared" si="101"/>
        <v/>
      </c>
      <c r="H658" s="1" t="str">
        <f>IFERROR((VLOOKUP(G658,Backdata!G:H,2,0)),"")</f>
        <v/>
      </c>
      <c r="M658" s="5"/>
      <c r="N658" s="3">
        <f t="shared" si="105"/>
        <v>0</v>
      </c>
      <c r="O658" s="5"/>
      <c r="P658" s="3">
        <f t="shared" si="106"/>
        <v>0</v>
      </c>
      <c r="Q658" s="3">
        <f t="shared" si="102"/>
        <v>0</v>
      </c>
      <c r="T658" s="27" t="str">
        <f t="shared" si="98"/>
        <v/>
      </c>
      <c r="U658" s="1" t="str">
        <f t="shared" si="103"/>
        <v/>
      </c>
    </row>
    <row r="659" spans="2:21" hidden="1">
      <c r="B659" s="1">
        <f t="shared" si="104"/>
        <v>655</v>
      </c>
      <c r="C659" s="2"/>
      <c r="D659" s="2" t="str">
        <f t="shared" si="99"/>
        <v/>
      </c>
      <c r="E659" s="1" t="str">
        <f t="shared" si="100"/>
        <v/>
      </c>
      <c r="F659" s="1" t="str">
        <f t="shared" si="101"/>
        <v/>
      </c>
      <c r="H659" s="1" t="str">
        <f>IFERROR((VLOOKUP(G659,Backdata!G:H,2,0)),"")</f>
        <v/>
      </c>
      <c r="M659" s="5"/>
      <c r="N659" s="3">
        <f t="shared" si="105"/>
        <v>0</v>
      </c>
      <c r="O659" s="5"/>
      <c r="P659" s="3">
        <f t="shared" si="106"/>
        <v>0</v>
      </c>
      <c r="Q659" s="3">
        <f t="shared" si="102"/>
        <v>0</v>
      </c>
      <c r="T659" s="27" t="str">
        <f t="shared" si="98"/>
        <v/>
      </c>
      <c r="U659" s="1" t="str">
        <f t="shared" si="103"/>
        <v/>
      </c>
    </row>
    <row r="660" spans="2:21" hidden="1">
      <c r="B660" s="1">
        <f t="shared" si="104"/>
        <v>656</v>
      </c>
      <c r="C660" s="2"/>
      <c r="D660" s="2" t="str">
        <f t="shared" si="99"/>
        <v/>
      </c>
      <c r="E660" s="1" t="str">
        <f t="shared" si="100"/>
        <v/>
      </c>
      <c r="F660" s="1" t="str">
        <f t="shared" si="101"/>
        <v/>
      </c>
      <c r="H660" s="1" t="str">
        <f>IFERROR((VLOOKUP(G660,Backdata!G:H,2,0)),"")</f>
        <v/>
      </c>
      <c r="M660" s="5"/>
      <c r="N660" s="3">
        <f t="shared" si="105"/>
        <v>0</v>
      </c>
      <c r="O660" s="5"/>
      <c r="P660" s="3">
        <f t="shared" si="106"/>
        <v>0</v>
      </c>
      <c r="Q660" s="3">
        <f t="shared" si="102"/>
        <v>0</v>
      </c>
      <c r="T660" s="27" t="str">
        <f t="shared" si="98"/>
        <v/>
      </c>
      <c r="U660" s="1" t="str">
        <f t="shared" si="103"/>
        <v/>
      </c>
    </row>
    <row r="661" spans="2:21" hidden="1">
      <c r="B661" s="1">
        <f t="shared" si="104"/>
        <v>657</v>
      </c>
      <c r="C661" s="2"/>
      <c r="D661" s="2" t="str">
        <f t="shared" si="99"/>
        <v/>
      </c>
      <c r="E661" s="1" t="str">
        <f t="shared" si="100"/>
        <v/>
      </c>
      <c r="F661" s="1" t="str">
        <f t="shared" si="101"/>
        <v/>
      </c>
      <c r="H661" s="1" t="str">
        <f>IFERROR((VLOOKUP(G661,Backdata!G:H,2,0)),"")</f>
        <v/>
      </c>
      <c r="M661" s="5"/>
      <c r="N661" s="3">
        <f t="shared" si="105"/>
        <v>0</v>
      </c>
      <c r="O661" s="5"/>
      <c r="P661" s="3">
        <f t="shared" si="106"/>
        <v>0</v>
      </c>
      <c r="Q661" s="3">
        <f t="shared" si="102"/>
        <v>0</v>
      </c>
      <c r="T661" s="27" t="str">
        <f t="shared" si="98"/>
        <v/>
      </c>
      <c r="U661" s="1" t="str">
        <f t="shared" si="103"/>
        <v/>
      </c>
    </row>
    <row r="662" spans="2:21" hidden="1">
      <c r="B662" s="1">
        <f t="shared" si="104"/>
        <v>658</v>
      </c>
      <c r="C662" s="2"/>
      <c r="D662" s="2" t="str">
        <f t="shared" si="99"/>
        <v/>
      </c>
      <c r="E662" s="1" t="str">
        <f t="shared" si="100"/>
        <v/>
      </c>
      <c r="F662" s="1" t="str">
        <f t="shared" si="101"/>
        <v/>
      </c>
      <c r="H662" s="1" t="str">
        <f>IFERROR((VLOOKUP(G662,Backdata!G:H,2,0)),"")</f>
        <v/>
      </c>
      <c r="M662" s="5"/>
      <c r="N662" s="3">
        <f t="shared" si="105"/>
        <v>0</v>
      </c>
      <c r="O662" s="5"/>
      <c r="P662" s="3">
        <f t="shared" si="106"/>
        <v>0</v>
      </c>
      <c r="Q662" s="3">
        <f t="shared" si="102"/>
        <v>0</v>
      </c>
      <c r="T662" s="27" t="str">
        <f t="shared" si="98"/>
        <v/>
      </c>
      <c r="U662" s="1" t="str">
        <f t="shared" si="103"/>
        <v/>
      </c>
    </row>
    <row r="663" spans="2:21" hidden="1">
      <c r="B663" s="1">
        <f t="shared" si="104"/>
        <v>659</v>
      </c>
      <c r="C663" s="2"/>
      <c r="D663" s="2" t="str">
        <f t="shared" si="99"/>
        <v/>
      </c>
      <c r="E663" s="1" t="str">
        <f t="shared" si="100"/>
        <v/>
      </c>
      <c r="F663" s="1" t="str">
        <f t="shared" si="101"/>
        <v/>
      </c>
      <c r="H663" s="1" t="str">
        <f>IFERROR((VLOOKUP(G663,Backdata!G:H,2,0)),"")</f>
        <v/>
      </c>
      <c r="M663" s="5"/>
      <c r="N663" s="3">
        <f t="shared" si="105"/>
        <v>0</v>
      </c>
      <c r="O663" s="5"/>
      <c r="P663" s="3">
        <f t="shared" si="106"/>
        <v>0</v>
      </c>
      <c r="Q663" s="3">
        <f t="shared" si="102"/>
        <v>0</v>
      </c>
      <c r="T663" s="27" t="str">
        <f t="shared" si="98"/>
        <v/>
      </c>
      <c r="U663" s="1" t="str">
        <f t="shared" si="103"/>
        <v/>
      </c>
    </row>
    <row r="664" spans="2:21" hidden="1">
      <c r="B664" s="1">
        <f t="shared" si="104"/>
        <v>660</v>
      </c>
      <c r="C664" s="2"/>
      <c r="D664" s="2" t="str">
        <f t="shared" si="99"/>
        <v/>
      </c>
      <c r="E664" s="1" t="str">
        <f t="shared" si="100"/>
        <v/>
      </c>
      <c r="F664" s="1" t="str">
        <f t="shared" si="101"/>
        <v/>
      </c>
      <c r="H664" s="1" t="str">
        <f>IFERROR((VLOOKUP(G664,Backdata!G:H,2,0)),"")</f>
        <v/>
      </c>
      <c r="M664" s="5"/>
      <c r="N664" s="3">
        <f t="shared" si="105"/>
        <v>0</v>
      </c>
      <c r="O664" s="5"/>
      <c r="P664" s="3">
        <f t="shared" si="106"/>
        <v>0</v>
      </c>
      <c r="Q664" s="3">
        <f t="shared" si="102"/>
        <v>0</v>
      </c>
      <c r="T664" s="27" t="str">
        <f t="shared" si="98"/>
        <v/>
      </c>
      <c r="U664" s="1" t="str">
        <f t="shared" si="103"/>
        <v/>
      </c>
    </row>
    <row r="665" spans="2:21" hidden="1">
      <c r="B665" s="1">
        <f t="shared" si="104"/>
        <v>661</v>
      </c>
      <c r="C665" s="2"/>
      <c r="D665" s="2" t="str">
        <f t="shared" si="99"/>
        <v/>
      </c>
      <c r="E665" s="1" t="str">
        <f t="shared" si="100"/>
        <v/>
      </c>
      <c r="F665" s="1" t="str">
        <f t="shared" si="101"/>
        <v/>
      </c>
      <c r="H665" s="1" t="str">
        <f>IFERROR((VLOOKUP(G665,Backdata!G:H,2,0)),"")</f>
        <v/>
      </c>
      <c r="M665" s="5"/>
      <c r="N665" s="3">
        <f t="shared" si="105"/>
        <v>0</v>
      </c>
      <c r="O665" s="5"/>
      <c r="P665" s="3">
        <f t="shared" si="106"/>
        <v>0</v>
      </c>
      <c r="Q665" s="3">
        <f t="shared" si="102"/>
        <v>0</v>
      </c>
      <c r="T665" s="27" t="str">
        <f t="shared" si="98"/>
        <v/>
      </c>
      <c r="U665" s="1" t="str">
        <f t="shared" si="103"/>
        <v/>
      </c>
    </row>
    <row r="666" spans="2:21" hidden="1">
      <c r="B666" s="1">
        <f t="shared" si="104"/>
        <v>662</v>
      </c>
      <c r="C666" s="2"/>
      <c r="D666" s="2" t="str">
        <f t="shared" si="99"/>
        <v/>
      </c>
      <c r="E666" s="1" t="str">
        <f t="shared" si="100"/>
        <v/>
      </c>
      <c r="F666" s="1" t="str">
        <f t="shared" si="101"/>
        <v/>
      </c>
      <c r="H666" s="1" t="str">
        <f>IFERROR((VLOOKUP(G666,Backdata!G:H,2,0)),"")</f>
        <v/>
      </c>
      <c r="M666" s="5"/>
      <c r="N666" s="3">
        <f t="shared" si="105"/>
        <v>0</v>
      </c>
      <c r="O666" s="5"/>
      <c r="P666" s="3">
        <f t="shared" si="106"/>
        <v>0</v>
      </c>
      <c r="Q666" s="3">
        <f t="shared" si="102"/>
        <v>0</v>
      </c>
      <c r="T666" s="27" t="str">
        <f t="shared" si="98"/>
        <v/>
      </c>
      <c r="U666" s="1" t="str">
        <f t="shared" si="103"/>
        <v/>
      </c>
    </row>
    <row r="667" spans="2:21" hidden="1">
      <c r="B667" s="1">
        <f t="shared" si="104"/>
        <v>663</v>
      </c>
      <c r="C667" s="2"/>
      <c r="D667" s="2" t="str">
        <f t="shared" si="99"/>
        <v/>
      </c>
      <c r="E667" s="1" t="str">
        <f t="shared" si="100"/>
        <v/>
      </c>
      <c r="F667" s="1" t="str">
        <f t="shared" si="101"/>
        <v/>
      </c>
      <c r="H667" s="1" t="str">
        <f>IFERROR((VLOOKUP(G667,Backdata!G:H,2,0)),"")</f>
        <v/>
      </c>
      <c r="M667" s="5"/>
      <c r="N667" s="3">
        <f t="shared" si="105"/>
        <v>0</v>
      </c>
      <c r="O667" s="5"/>
      <c r="P667" s="3">
        <f t="shared" si="106"/>
        <v>0</v>
      </c>
      <c r="Q667" s="3">
        <f t="shared" si="102"/>
        <v>0</v>
      </c>
      <c r="T667" s="27" t="str">
        <f t="shared" si="98"/>
        <v/>
      </c>
      <c r="U667" s="1" t="str">
        <f t="shared" si="103"/>
        <v/>
      </c>
    </row>
    <row r="668" spans="2:21" hidden="1">
      <c r="B668" s="1">
        <f t="shared" si="104"/>
        <v>664</v>
      </c>
      <c r="C668" s="2"/>
      <c r="D668" s="2" t="str">
        <f t="shared" si="99"/>
        <v/>
      </c>
      <c r="E668" s="1" t="str">
        <f t="shared" si="100"/>
        <v/>
      </c>
      <c r="F668" s="1" t="str">
        <f t="shared" si="101"/>
        <v/>
      </c>
      <c r="H668" s="1" t="str">
        <f>IFERROR((VLOOKUP(G668,Backdata!G:H,2,0)),"")</f>
        <v/>
      </c>
      <c r="M668" s="5"/>
      <c r="N668" s="3">
        <f t="shared" si="105"/>
        <v>0</v>
      </c>
      <c r="O668" s="5"/>
      <c r="P668" s="3">
        <f t="shared" si="106"/>
        <v>0</v>
      </c>
      <c r="Q668" s="3">
        <f t="shared" si="102"/>
        <v>0</v>
      </c>
      <c r="T668" s="27" t="str">
        <f t="shared" si="98"/>
        <v/>
      </c>
      <c r="U668" s="1" t="str">
        <f t="shared" si="103"/>
        <v/>
      </c>
    </row>
    <row r="669" spans="2:21" hidden="1">
      <c r="B669" s="1">
        <f t="shared" si="104"/>
        <v>665</v>
      </c>
      <c r="C669" s="2"/>
      <c r="D669" s="2" t="str">
        <f t="shared" si="99"/>
        <v/>
      </c>
      <c r="E669" s="1" t="str">
        <f t="shared" si="100"/>
        <v/>
      </c>
      <c r="F669" s="1" t="str">
        <f t="shared" si="101"/>
        <v/>
      </c>
      <c r="H669" s="1" t="str">
        <f>IFERROR((VLOOKUP(G669,Backdata!G:H,2,0)),"")</f>
        <v/>
      </c>
      <c r="M669" s="5"/>
      <c r="N669" s="3">
        <f t="shared" si="105"/>
        <v>0</v>
      </c>
      <c r="O669" s="5"/>
      <c r="P669" s="3">
        <f t="shared" si="106"/>
        <v>0</v>
      </c>
      <c r="Q669" s="3">
        <f t="shared" si="102"/>
        <v>0</v>
      </c>
      <c r="T669" s="27" t="str">
        <f t="shared" si="98"/>
        <v/>
      </c>
      <c r="U669" s="1" t="str">
        <f t="shared" si="103"/>
        <v/>
      </c>
    </row>
    <row r="670" spans="2:21" hidden="1">
      <c r="B670" s="1">
        <f t="shared" si="104"/>
        <v>666</v>
      </c>
      <c r="C670" s="2"/>
      <c r="D670" s="2" t="str">
        <f t="shared" si="99"/>
        <v/>
      </c>
      <c r="E670" s="1" t="str">
        <f t="shared" si="100"/>
        <v/>
      </c>
      <c r="F670" s="1" t="str">
        <f t="shared" si="101"/>
        <v/>
      </c>
      <c r="H670" s="1" t="str">
        <f>IFERROR((VLOOKUP(G670,Backdata!G:H,2,0)),"")</f>
        <v/>
      </c>
      <c r="M670" s="5"/>
      <c r="N670" s="3">
        <f t="shared" si="105"/>
        <v>0</v>
      </c>
      <c r="O670" s="5"/>
      <c r="P670" s="3">
        <f t="shared" si="106"/>
        <v>0</v>
      </c>
      <c r="Q670" s="3">
        <f t="shared" si="102"/>
        <v>0</v>
      </c>
      <c r="T670" s="27" t="str">
        <f t="shared" si="98"/>
        <v/>
      </c>
      <c r="U670" s="1" t="str">
        <f t="shared" si="103"/>
        <v/>
      </c>
    </row>
    <row r="671" spans="2:21" hidden="1">
      <c r="B671" s="1">
        <f t="shared" si="104"/>
        <v>667</v>
      </c>
      <c r="C671" s="2"/>
      <c r="D671" s="2" t="str">
        <f t="shared" si="99"/>
        <v/>
      </c>
      <c r="E671" s="1" t="str">
        <f t="shared" si="100"/>
        <v/>
      </c>
      <c r="F671" s="1" t="str">
        <f t="shared" si="101"/>
        <v/>
      </c>
      <c r="H671" s="1" t="str">
        <f>IFERROR((VLOOKUP(G671,Backdata!G:H,2,0)),"")</f>
        <v/>
      </c>
      <c r="M671" s="5"/>
      <c r="N671" s="3">
        <f t="shared" si="105"/>
        <v>0</v>
      </c>
      <c r="O671" s="5"/>
      <c r="P671" s="3">
        <f t="shared" si="106"/>
        <v>0</v>
      </c>
      <c r="Q671" s="3">
        <f t="shared" si="102"/>
        <v>0</v>
      </c>
      <c r="T671" s="27" t="str">
        <f t="shared" si="98"/>
        <v/>
      </c>
      <c r="U671" s="1" t="str">
        <f t="shared" si="103"/>
        <v/>
      </c>
    </row>
    <row r="672" spans="2:21" hidden="1">
      <c r="B672" s="1">
        <f t="shared" si="104"/>
        <v>668</v>
      </c>
      <c r="C672" s="2"/>
      <c r="D672" s="2" t="str">
        <f t="shared" si="99"/>
        <v/>
      </c>
      <c r="E672" s="1" t="str">
        <f t="shared" si="100"/>
        <v/>
      </c>
      <c r="F672" s="1" t="str">
        <f t="shared" si="101"/>
        <v/>
      </c>
      <c r="H672" s="1" t="str">
        <f>IFERROR((VLOOKUP(G672,Backdata!G:H,2,0)),"")</f>
        <v/>
      </c>
      <c r="M672" s="5"/>
      <c r="N672" s="3">
        <f t="shared" si="105"/>
        <v>0</v>
      </c>
      <c r="O672" s="5"/>
      <c r="P672" s="3">
        <f t="shared" si="106"/>
        <v>0</v>
      </c>
      <c r="Q672" s="3">
        <f t="shared" si="102"/>
        <v>0</v>
      </c>
      <c r="T672" s="27" t="str">
        <f t="shared" si="98"/>
        <v/>
      </c>
      <c r="U672" s="1" t="str">
        <f t="shared" si="103"/>
        <v/>
      </c>
    </row>
    <row r="673" spans="2:21" hidden="1">
      <c r="B673" s="1">
        <f t="shared" si="104"/>
        <v>669</v>
      </c>
      <c r="C673" s="2"/>
      <c r="D673" s="2" t="str">
        <f t="shared" si="99"/>
        <v/>
      </c>
      <c r="E673" s="1" t="str">
        <f t="shared" si="100"/>
        <v/>
      </c>
      <c r="F673" s="1" t="str">
        <f t="shared" si="101"/>
        <v/>
      </c>
      <c r="H673" s="1" t="str">
        <f>IFERROR((VLOOKUP(G673,Backdata!G:H,2,0)),"")</f>
        <v/>
      </c>
      <c r="M673" s="5"/>
      <c r="N673" s="3">
        <f t="shared" si="105"/>
        <v>0</v>
      </c>
      <c r="O673" s="5"/>
      <c r="P673" s="3">
        <f t="shared" si="106"/>
        <v>0</v>
      </c>
      <c r="Q673" s="3">
        <f t="shared" si="102"/>
        <v>0</v>
      </c>
      <c r="T673" s="27" t="str">
        <f t="shared" si="98"/>
        <v/>
      </c>
      <c r="U673" s="1" t="str">
        <f t="shared" si="103"/>
        <v/>
      </c>
    </row>
    <row r="674" spans="2:21" hidden="1">
      <c r="B674" s="1">
        <f t="shared" si="104"/>
        <v>670</v>
      </c>
      <c r="C674" s="2"/>
      <c r="D674" s="2" t="str">
        <f t="shared" si="99"/>
        <v/>
      </c>
      <c r="E674" s="1" t="str">
        <f t="shared" si="100"/>
        <v/>
      </c>
      <c r="F674" s="1" t="str">
        <f t="shared" si="101"/>
        <v/>
      </c>
      <c r="H674" s="1" t="str">
        <f>IFERROR((VLOOKUP(G674,Backdata!G:H,2,0)),"")</f>
        <v/>
      </c>
      <c r="M674" s="5"/>
      <c r="N674" s="3">
        <f t="shared" si="105"/>
        <v>0</v>
      </c>
      <c r="O674" s="5"/>
      <c r="P674" s="3">
        <f t="shared" si="106"/>
        <v>0</v>
      </c>
      <c r="Q674" s="3">
        <f t="shared" si="102"/>
        <v>0</v>
      </c>
      <c r="T674" s="27" t="str">
        <f t="shared" si="98"/>
        <v/>
      </c>
      <c r="U674" s="1" t="str">
        <f t="shared" si="103"/>
        <v/>
      </c>
    </row>
    <row r="675" spans="2:21" hidden="1">
      <c r="B675" s="1">
        <f t="shared" si="104"/>
        <v>671</v>
      </c>
      <c r="C675" s="2"/>
      <c r="D675" s="2" t="str">
        <f t="shared" si="99"/>
        <v/>
      </c>
      <c r="E675" s="1" t="str">
        <f t="shared" si="100"/>
        <v/>
      </c>
      <c r="F675" s="1" t="str">
        <f t="shared" si="101"/>
        <v/>
      </c>
      <c r="H675" s="1" t="str">
        <f>IFERROR((VLOOKUP(G675,Backdata!G:H,2,0)),"")</f>
        <v/>
      </c>
      <c r="M675" s="5"/>
      <c r="N675" s="3">
        <f t="shared" si="105"/>
        <v>0</v>
      </c>
      <c r="O675" s="5"/>
      <c r="P675" s="3">
        <f t="shared" si="106"/>
        <v>0</v>
      </c>
      <c r="Q675" s="3">
        <f t="shared" si="102"/>
        <v>0</v>
      </c>
      <c r="T675" s="27" t="str">
        <f t="shared" si="98"/>
        <v/>
      </c>
      <c r="U675" s="1" t="str">
        <f t="shared" si="103"/>
        <v/>
      </c>
    </row>
    <row r="676" spans="2:21" hidden="1">
      <c r="B676" s="1">
        <f t="shared" si="104"/>
        <v>672</v>
      </c>
      <c r="C676" s="2"/>
      <c r="D676" s="2" t="str">
        <f t="shared" si="99"/>
        <v/>
      </c>
      <c r="E676" s="1" t="str">
        <f t="shared" si="100"/>
        <v/>
      </c>
      <c r="F676" s="1" t="str">
        <f t="shared" si="101"/>
        <v/>
      </c>
      <c r="H676" s="1" t="str">
        <f>IFERROR((VLOOKUP(G676,Backdata!G:H,2,0)),"")</f>
        <v/>
      </c>
      <c r="M676" s="5"/>
      <c r="N676" s="3">
        <f t="shared" si="105"/>
        <v>0</v>
      </c>
      <c r="O676" s="5"/>
      <c r="P676" s="3">
        <f t="shared" si="106"/>
        <v>0</v>
      </c>
      <c r="Q676" s="3">
        <f t="shared" si="102"/>
        <v>0</v>
      </c>
      <c r="T676" s="27" t="str">
        <f t="shared" si="98"/>
        <v/>
      </c>
      <c r="U676" s="1" t="str">
        <f t="shared" si="103"/>
        <v/>
      </c>
    </row>
    <row r="677" spans="2:21" hidden="1">
      <c r="B677" s="1">
        <f t="shared" si="104"/>
        <v>673</v>
      </c>
      <c r="C677" s="2"/>
      <c r="D677" s="2" t="str">
        <f t="shared" si="99"/>
        <v/>
      </c>
      <c r="E677" s="1" t="str">
        <f t="shared" si="100"/>
        <v/>
      </c>
      <c r="F677" s="1" t="str">
        <f t="shared" si="101"/>
        <v/>
      </c>
      <c r="H677" s="1" t="str">
        <f>IFERROR((VLOOKUP(G677,Backdata!G:H,2,0)),"")</f>
        <v/>
      </c>
      <c r="M677" s="5"/>
      <c r="N677" s="3">
        <f t="shared" si="105"/>
        <v>0</v>
      </c>
      <c r="O677" s="5"/>
      <c r="P677" s="3">
        <f t="shared" si="106"/>
        <v>0</v>
      </c>
      <c r="Q677" s="3">
        <f t="shared" si="102"/>
        <v>0</v>
      </c>
      <c r="T677" s="27" t="str">
        <f t="shared" si="98"/>
        <v/>
      </c>
      <c r="U677" s="1" t="str">
        <f t="shared" si="103"/>
        <v/>
      </c>
    </row>
    <row r="678" spans="2:21" hidden="1">
      <c r="B678" s="1">
        <f t="shared" si="104"/>
        <v>674</v>
      </c>
      <c r="C678" s="2"/>
      <c r="D678" s="2" t="str">
        <f t="shared" si="99"/>
        <v/>
      </c>
      <c r="E678" s="1" t="str">
        <f t="shared" si="100"/>
        <v/>
      </c>
      <c r="F678" s="1" t="str">
        <f t="shared" si="101"/>
        <v/>
      </c>
      <c r="H678" s="1" t="str">
        <f>IFERROR((VLOOKUP(G678,Backdata!G:H,2,0)),"")</f>
        <v/>
      </c>
      <c r="M678" s="5"/>
      <c r="N678" s="3">
        <f t="shared" si="105"/>
        <v>0</v>
      </c>
      <c r="O678" s="5"/>
      <c r="P678" s="3">
        <f t="shared" si="106"/>
        <v>0</v>
      </c>
      <c r="Q678" s="3">
        <f t="shared" si="102"/>
        <v>0</v>
      </c>
      <c r="T678" s="27" t="str">
        <f t="shared" si="98"/>
        <v/>
      </c>
      <c r="U678" s="1" t="str">
        <f t="shared" si="103"/>
        <v/>
      </c>
    </row>
    <row r="679" spans="2:21" hidden="1">
      <c r="B679" s="1">
        <f t="shared" si="104"/>
        <v>675</v>
      </c>
      <c r="C679" s="2"/>
      <c r="D679" s="2" t="str">
        <f t="shared" si="99"/>
        <v/>
      </c>
      <c r="E679" s="1" t="str">
        <f t="shared" si="100"/>
        <v/>
      </c>
      <c r="F679" s="1" t="str">
        <f t="shared" si="101"/>
        <v/>
      </c>
      <c r="H679" s="1" t="str">
        <f>IFERROR((VLOOKUP(G679,Backdata!G:H,2,0)),"")</f>
        <v/>
      </c>
      <c r="M679" s="5"/>
      <c r="N679" s="3">
        <f t="shared" si="105"/>
        <v>0</v>
      </c>
      <c r="O679" s="5"/>
      <c r="P679" s="3">
        <f t="shared" si="106"/>
        <v>0</v>
      </c>
      <c r="Q679" s="3">
        <f t="shared" si="102"/>
        <v>0</v>
      </c>
      <c r="T679" s="27" t="str">
        <f t="shared" si="98"/>
        <v/>
      </c>
      <c r="U679" s="1" t="str">
        <f t="shared" si="103"/>
        <v/>
      </c>
    </row>
    <row r="680" spans="2:21" hidden="1">
      <c r="B680" s="1">
        <f t="shared" si="104"/>
        <v>676</v>
      </c>
      <c r="C680" s="2"/>
      <c r="D680" s="2" t="str">
        <f t="shared" si="99"/>
        <v/>
      </c>
      <c r="E680" s="1" t="str">
        <f t="shared" si="100"/>
        <v/>
      </c>
      <c r="F680" s="1" t="str">
        <f t="shared" si="101"/>
        <v/>
      </c>
      <c r="H680" s="1" t="str">
        <f>IFERROR((VLOOKUP(G680,Backdata!G:H,2,0)),"")</f>
        <v/>
      </c>
      <c r="M680" s="5"/>
      <c r="N680" s="3">
        <f t="shared" si="105"/>
        <v>0</v>
      </c>
      <c r="O680" s="5"/>
      <c r="P680" s="3">
        <f t="shared" si="106"/>
        <v>0</v>
      </c>
      <c r="Q680" s="3">
        <f t="shared" si="102"/>
        <v>0</v>
      </c>
      <c r="T680" s="27" t="str">
        <f t="shared" si="98"/>
        <v/>
      </c>
      <c r="U680" s="1" t="str">
        <f t="shared" si="103"/>
        <v/>
      </c>
    </row>
    <row r="681" spans="2:21" hidden="1">
      <c r="B681" s="1">
        <f t="shared" si="104"/>
        <v>677</v>
      </c>
      <c r="C681" s="2"/>
      <c r="D681" s="2" t="str">
        <f t="shared" si="99"/>
        <v/>
      </c>
      <c r="E681" s="1" t="str">
        <f t="shared" si="100"/>
        <v/>
      </c>
      <c r="F681" s="1" t="str">
        <f t="shared" si="101"/>
        <v/>
      </c>
      <c r="H681" s="1" t="str">
        <f>IFERROR((VLOOKUP(G681,Backdata!G:H,2,0)),"")</f>
        <v/>
      </c>
      <c r="M681" s="5"/>
      <c r="N681" s="3">
        <f t="shared" si="105"/>
        <v>0</v>
      </c>
      <c r="O681" s="5"/>
      <c r="P681" s="3">
        <f t="shared" si="106"/>
        <v>0</v>
      </c>
      <c r="Q681" s="3">
        <f t="shared" si="102"/>
        <v>0</v>
      </c>
      <c r="T681" s="27" t="str">
        <f t="shared" si="98"/>
        <v/>
      </c>
      <c r="U681" s="1" t="str">
        <f t="shared" si="103"/>
        <v/>
      </c>
    </row>
    <row r="682" spans="2:21" hidden="1">
      <c r="B682" s="1">
        <f t="shared" si="104"/>
        <v>678</v>
      </c>
      <c r="C682" s="2"/>
      <c r="D682" s="2" t="str">
        <f t="shared" si="99"/>
        <v/>
      </c>
      <c r="E682" s="1" t="str">
        <f t="shared" si="100"/>
        <v/>
      </c>
      <c r="F682" s="1" t="str">
        <f t="shared" si="101"/>
        <v/>
      </c>
      <c r="H682" s="1" t="str">
        <f>IFERROR((VLOOKUP(G682,Backdata!G:H,2,0)),"")</f>
        <v/>
      </c>
      <c r="M682" s="5"/>
      <c r="N682" s="3">
        <f t="shared" si="105"/>
        <v>0</v>
      </c>
      <c r="O682" s="5"/>
      <c r="P682" s="3">
        <f t="shared" si="106"/>
        <v>0</v>
      </c>
      <c r="Q682" s="3">
        <f t="shared" si="102"/>
        <v>0</v>
      </c>
      <c r="T682" s="27" t="str">
        <f t="shared" si="98"/>
        <v/>
      </c>
      <c r="U682" s="1" t="str">
        <f t="shared" si="103"/>
        <v/>
      </c>
    </row>
    <row r="683" spans="2:21" hidden="1">
      <c r="B683" s="1">
        <f t="shared" si="104"/>
        <v>679</v>
      </c>
      <c r="C683" s="2"/>
      <c r="D683" s="2" t="str">
        <f t="shared" si="99"/>
        <v/>
      </c>
      <c r="E683" s="1" t="str">
        <f t="shared" si="100"/>
        <v/>
      </c>
      <c r="F683" s="1" t="str">
        <f t="shared" si="101"/>
        <v/>
      </c>
      <c r="H683" s="1" t="str">
        <f>IFERROR((VLOOKUP(G683,Backdata!G:H,2,0)),"")</f>
        <v/>
      </c>
      <c r="M683" s="5"/>
      <c r="N683" s="3">
        <f t="shared" si="105"/>
        <v>0</v>
      </c>
      <c r="O683" s="5"/>
      <c r="P683" s="3">
        <f t="shared" si="106"/>
        <v>0</v>
      </c>
      <c r="Q683" s="3">
        <f t="shared" si="102"/>
        <v>0</v>
      </c>
      <c r="T683" s="27" t="str">
        <f t="shared" si="98"/>
        <v/>
      </c>
      <c r="U683" s="1" t="str">
        <f t="shared" si="103"/>
        <v/>
      </c>
    </row>
    <row r="684" spans="2:21" hidden="1">
      <c r="B684" s="1">
        <f t="shared" si="104"/>
        <v>680</v>
      </c>
      <c r="C684" s="2"/>
      <c r="D684" s="2" t="str">
        <f t="shared" si="99"/>
        <v/>
      </c>
      <c r="E684" s="1" t="str">
        <f t="shared" si="100"/>
        <v/>
      </c>
      <c r="F684" s="1" t="str">
        <f t="shared" si="101"/>
        <v/>
      </c>
      <c r="H684" s="1" t="str">
        <f>IFERROR((VLOOKUP(G684,Backdata!G:H,2,0)),"")</f>
        <v/>
      </c>
      <c r="M684" s="5"/>
      <c r="N684" s="3">
        <f t="shared" si="105"/>
        <v>0</v>
      </c>
      <c r="O684" s="5"/>
      <c r="P684" s="3">
        <f t="shared" si="106"/>
        <v>0</v>
      </c>
      <c r="Q684" s="3">
        <f t="shared" si="102"/>
        <v>0</v>
      </c>
      <c r="T684" s="27" t="str">
        <f t="shared" si="98"/>
        <v/>
      </c>
      <c r="U684" s="1" t="str">
        <f t="shared" si="103"/>
        <v/>
      </c>
    </row>
    <row r="685" spans="2:21" hidden="1">
      <c r="B685" s="1">
        <f t="shared" si="104"/>
        <v>681</v>
      </c>
      <c r="C685" s="2"/>
      <c r="D685" s="2" t="str">
        <f t="shared" si="99"/>
        <v/>
      </c>
      <c r="E685" s="1" t="str">
        <f t="shared" si="100"/>
        <v/>
      </c>
      <c r="F685" s="1" t="str">
        <f t="shared" si="101"/>
        <v/>
      </c>
      <c r="H685" s="1" t="str">
        <f>IFERROR((VLOOKUP(G685,Backdata!G:H,2,0)),"")</f>
        <v/>
      </c>
      <c r="M685" s="5"/>
      <c r="N685" s="3">
        <f t="shared" si="105"/>
        <v>0</v>
      </c>
      <c r="O685" s="5"/>
      <c r="P685" s="3">
        <f t="shared" si="106"/>
        <v>0</v>
      </c>
      <c r="Q685" s="3">
        <f t="shared" si="102"/>
        <v>0</v>
      </c>
      <c r="T685" s="27" t="str">
        <f t="shared" si="98"/>
        <v/>
      </c>
      <c r="U685" s="1" t="str">
        <f t="shared" si="103"/>
        <v/>
      </c>
    </row>
    <row r="686" spans="2:21" hidden="1">
      <c r="B686" s="1">
        <f t="shared" si="104"/>
        <v>682</v>
      </c>
      <c r="C686" s="2"/>
      <c r="D686" s="2" t="str">
        <f t="shared" si="99"/>
        <v/>
      </c>
      <c r="E686" s="1" t="str">
        <f t="shared" si="100"/>
        <v/>
      </c>
      <c r="F686" s="1" t="str">
        <f t="shared" si="101"/>
        <v/>
      </c>
      <c r="H686" s="1" t="str">
        <f>IFERROR((VLOOKUP(G686,Backdata!G:H,2,0)),"")</f>
        <v/>
      </c>
      <c r="M686" s="5"/>
      <c r="N686" s="3">
        <f t="shared" si="105"/>
        <v>0</v>
      </c>
      <c r="O686" s="5"/>
      <c r="P686" s="3">
        <f t="shared" si="106"/>
        <v>0</v>
      </c>
      <c r="Q686" s="3">
        <f t="shared" si="102"/>
        <v>0</v>
      </c>
      <c r="T686" s="27" t="str">
        <f t="shared" si="98"/>
        <v/>
      </c>
      <c r="U686" s="1" t="str">
        <f t="shared" si="103"/>
        <v/>
      </c>
    </row>
    <row r="687" spans="2:21" hidden="1">
      <c r="B687" s="1">
        <f t="shared" si="104"/>
        <v>683</v>
      </c>
      <c r="C687" s="2"/>
      <c r="D687" s="2" t="str">
        <f t="shared" si="99"/>
        <v/>
      </c>
      <c r="E687" s="1" t="str">
        <f t="shared" si="100"/>
        <v/>
      </c>
      <c r="F687" s="1" t="str">
        <f t="shared" si="101"/>
        <v/>
      </c>
      <c r="H687" s="1" t="str">
        <f>IFERROR((VLOOKUP(G687,Backdata!G:H,2,0)),"")</f>
        <v/>
      </c>
      <c r="M687" s="5"/>
      <c r="N687" s="3">
        <f t="shared" si="105"/>
        <v>0</v>
      </c>
      <c r="O687" s="5"/>
      <c r="P687" s="3">
        <f t="shared" si="106"/>
        <v>0</v>
      </c>
      <c r="Q687" s="3">
        <f t="shared" si="102"/>
        <v>0</v>
      </c>
      <c r="T687" s="27" t="str">
        <f t="shared" si="98"/>
        <v/>
      </c>
      <c r="U687" s="1" t="str">
        <f t="shared" si="103"/>
        <v/>
      </c>
    </row>
    <row r="688" spans="2:21" hidden="1">
      <c r="B688" s="1">
        <f t="shared" si="104"/>
        <v>684</v>
      </c>
      <c r="C688" s="2"/>
      <c r="D688" s="2" t="str">
        <f t="shared" si="99"/>
        <v/>
      </c>
      <c r="E688" s="1" t="str">
        <f t="shared" si="100"/>
        <v/>
      </c>
      <c r="F688" s="1" t="str">
        <f t="shared" si="101"/>
        <v/>
      </c>
      <c r="H688" s="1" t="str">
        <f>IFERROR((VLOOKUP(G688,Backdata!G:H,2,0)),"")</f>
        <v/>
      </c>
      <c r="M688" s="5"/>
      <c r="N688" s="3">
        <f t="shared" si="105"/>
        <v>0</v>
      </c>
      <c r="O688" s="5"/>
      <c r="P688" s="3">
        <f t="shared" si="106"/>
        <v>0</v>
      </c>
      <c r="Q688" s="3">
        <f t="shared" si="102"/>
        <v>0</v>
      </c>
      <c r="T688" s="27" t="str">
        <f t="shared" si="98"/>
        <v/>
      </c>
      <c r="U688" s="1" t="str">
        <f t="shared" si="103"/>
        <v/>
      </c>
    </row>
    <row r="689" spans="2:21" hidden="1">
      <c r="B689" s="1">
        <f t="shared" si="104"/>
        <v>685</v>
      </c>
      <c r="C689" s="2"/>
      <c r="D689" s="2" t="str">
        <f t="shared" si="99"/>
        <v/>
      </c>
      <c r="E689" s="1" t="str">
        <f t="shared" si="100"/>
        <v/>
      </c>
      <c r="F689" s="1" t="str">
        <f t="shared" si="101"/>
        <v/>
      </c>
      <c r="H689" s="1" t="str">
        <f>IFERROR((VLOOKUP(G689,Backdata!G:H,2,0)),"")</f>
        <v/>
      </c>
      <c r="M689" s="5"/>
      <c r="N689" s="3">
        <f t="shared" si="105"/>
        <v>0</v>
      </c>
      <c r="O689" s="5"/>
      <c r="P689" s="3">
        <f t="shared" si="106"/>
        <v>0</v>
      </c>
      <c r="Q689" s="3">
        <f t="shared" si="102"/>
        <v>0</v>
      </c>
      <c r="T689" s="27" t="str">
        <f t="shared" si="98"/>
        <v/>
      </c>
      <c r="U689" s="1" t="str">
        <f t="shared" si="103"/>
        <v/>
      </c>
    </row>
    <row r="690" spans="2:21" hidden="1">
      <c r="B690" s="1">
        <f t="shared" si="104"/>
        <v>686</v>
      </c>
      <c r="C690" s="2"/>
      <c r="D690" s="2" t="str">
        <f t="shared" si="99"/>
        <v/>
      </c>
      <c r="E690" s="1" t="str">
        <f t="shared" si="100"/>
        <v/>
      </c>
      <c r="F690" s="1" t="str">
        <f t="shared" si="101"/>
        <v/>
      </c>
      <c r="H690" s="1" t="str">
        <f>IFERROR((VLOOKUP(G690,Backdata!G:H,2,0)),"")</f>
        <v/>
      </c>
      <c r="M690" s="5"/>
      <c r="N690" s="3">
        <f t="shared" si="105"/>
        <v>0</v>
      </c>
      <c r="O690" s="5"/>
      <c r="P690" s="3">
        <f t="shared" si="106"/>
        <v>0</v>
      </c>
      <c r="Q690" s="3">
        <f t="shared" si="102"/>
        <v>0</v>
      </c>
      <c r="T690" s="27" t="str">
        <f t="shared" si="98"/>
        <v/>
      </c>
      <c r="U690" s="1" t="str">
        <f t="shared" si="103"/>
        <v/>
      </c>
    </row>
    <row r="691" spans="2:21" hidden="1">
      <c r="B691" s="1">
        <f t="shared" si="104"/>
        <v>687</v>
      </c>
      <c r="C691" s="2"/>
      <c r="D691" s="2" t="str">
        <f t="shared" si="99"/>
        <v/>
      </c>
      <c r="E691" s="1" t="str">
        <f t="shared" si="100"/>
        <v/>
      </c>
      <c r="F691" s="1" t="str">
        <f t="shared" si="101"/>
        <v/>
      </c>
      <c r="H691" s="1" t="str">
        <f>IFERROR((VLOOKUP(G691,Backdata!G:H,2,0)),"")</f>
        <v/>
      </c>
      <c r="M691" s="5"/>
      <c r="N691" s="3">
        <f t="shared" si="105"/>
        <v>0</v>
      </c>
      <c r="O691" s="5"/>
      <c r="P691" s="3">
        <f t="shared" si="106"/>
        <v>0</v>
      </c>
      <c r="Q691" s="3">
        <f t="shared" si="102"/>
        <v>0</v>
      </c>
      <c r="T691" s="27" t="str">
        <f t="shared" si="98"/>
        <v/>
      </c>
      <c r="U691" s="1" t="str">
        <f t="shared" si="103"/>
        <v/>
      </c>
    </row>
    <row r="692" spans="2:21" hidden="1">
      <c r="B692" s="1">
        <f t="shared" si="104"/>
        <v>688</v>
      </c>
      <c r="C692" s="2"/>
      <c r="D692" s="2" t="str">
        <f t="shared" si="99"/>
        <v/>
      </c>
      <c r="E692" s="1" t="str">
        <f t="shared" si="100"/>
        <v/>
      </c>
      <c r="F692" s="1" t="str">
        <f t="shared" si="101"/>
        <v/>
      </c>
      <c r="H692" s="1" t="str">
        <f>IFERROR((VLOOKUP(G692,Backdata!G:H,2,0)),"")</f>
        <v/>
      </c>
      <c r="M692" s="5"/>
      <c r="N692" s="3">
        <f t="shared" si="105"/>
        <v>0</v>
      </c>
      <c r="O692" s="5"/>
      <c r="P692" s="3">
        <f t="shared" si="106"/>
        <v>0</v>
      </c>
      <c r="Q692" s="3">
        <f t="shared" si="102"/>
        <v>0</v>
      </c>
      <c r="T692" s="27" t="str">
        <f t="shared" si="98"/>
        <v/>
      </c>
      <c r="U692" s="1" t="str">
        <f t="shared" si="103"/>
        <v/>
      </c>
    </row>
    <row r="693" spans="2:21" hidden="1">
      <c r="B693" s="1">
        <f t="shared" si="104"/>
        <v>689</v>
      </c>
      <c r="C693" s="2"/>
      <c r="D693" s="2" t="str">
        <f t="shared" si="99"/>
        <v/>
      </c>
      <c r="E693" s="1" t="str">
        <f t="shared" si="100"/>
        <v/>
      </c>
      <c r="F693" s="1" t="str">
        <f t="shared" si="101"/>
        <v/>
      </c>
      <c r="H693" s="1" t="str">
        <f>IFERROR((VLOOKUP(G693,Backdata!G:H,2,0)),"")</f>
        <v/>
      </c>
      <c r="M693" s="5"/>
      <c r="N693" s="3">
        <f t="shared" si="105"/>
        <v>0</v>
      </c>
      <c r="O693" s="5"/>
      <c r="P693" s="3">
        <f t="shared" si="106"/>
        <v>0</v>
      </c>
      <c r="Q693" s="3">
        <f t="shared" si="102"/>
        <v>0</v>
      </c>
      <c r="T693" s="27" t="str">
        <f t="shared" si="98"/>
        <v/>
      </c>
      <c r="U693" s="1" t="str">
        <f t="shared" si="103"/>
        <v/>
      </c>
    </row>
    <row r="694" spans="2:21" hidden="1">
      <c r="B694" s="1">
        <f t="shared" si="104"/>
        <v>690</v>
      </c>
      <c r="C694" s="2"/>
      <c r="D694" s="2" t="str">
        <f t="shared" si="99"/>
        <v/>
      </c>
      <c r="E694" s="1" t="str">
        <f t="shared" si="100"/>
        <v/>
      </c>
      <c r="F694" s="1" t="str">
        <f t="shared" si="101"/>
        <v/>
      </c>
      <c r="H694" s="1" t="str">
        <f>IFERROR((VLOOKUP(G694,Backdata!G:H,2,0)),"")</f>
        <v/>
      </c>
      <c r="M694" s="5"/>
      <c r="N694" s="3">
        <f t="shared" si="105"/>
        <v>0</v>
      </c>
      <c r="O694" s="5"/>
      <c r="P694" s="3">
        <f t="shared" si="106"/>
        <v>0</v>
      </c>
      <c r="Q694" s="3">
        <f t="shared" si="102"/>
        <v>0</v>
      </c>
      <c r="T694" s="27" t="str">
        <f t="shared" si="98"/>
        <v/>
      </c>
      <c r="U694" s="1" t="str">
        <f t="shared" si="103"/>
        <v/>
      </c>
    </row>
  </sheetData>
  <autoFilter ref="B4:W694" xr:uid="{EA005ED5-E3D7-BE4D-9F0E-1A16DA991652}">
    <filterColumn colId="7">
      <filters>
        <filter val="기타"/>
        <filter val="타이어"/>
        <filter val="LFP(고소작업대)"/>
      </filters>
    </filterColumn>
    <sortState xmlns:xlrd2="http://schemas.microsoft.com/office/spreadsheetml/2017/richdata2" ref="B5:W694">
      <sortCondition ref="C4:C694"/>
    </sortState>
  </autoFilter>
  <sortState xmlns:xlrd2="http://schemas.microsoft.com/office/spreadsheetml/2017/richdata2" ref="B5:X694">
    <sortCondition ref="C5:C694"/>
  </sortState>
  <phoneticPr fontId="2" type="noConversion"/>
  <dataValidations count="2">
    <dataValidation type="list" allowBlank="1" showInputMessage="1" showErrorMessage="1" sqref="S6:S7 V5:V694" xr:uid="{B8D584DF-EE5C-6440-B4B2-E2BF2C91766E}">
      <formula1>"O, X"</formula1>
    </dataValidation>
    <dataValidation type="list" allowBlank="1" showInputMessage="1" showErrorMessage="1" sqref="I5:I694" xr:uid="{3EB6E52C-CAE5-2A4E-9D51-B940FAB4801C}">
      <formula1>"타이어, LFP(지게차), LFP(고소작업대), 렌탈, 할부금융, 리스, 기타"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04CA-A791-DC42-8E98-5308FA496A34}">
  <dimension ref="B1:L99"/>
  <sheetViews>
    <sheetView showGridLines="0" workbookViewId="0">
      <selection activeCell="C101" sqref="C101"/>
    </sheetView>
  </sheetViews>
  <sheetFormatPr baseColWidth="10" defaultColWidth="10.7109375" defaultRowHeight="18"/>
  <cols>
    <col min="1" max="1" width="10.7109375" style="1"/>
    <col min="2" max="2" width="24.42578125" style="1" bestFit="1" customWidth="1"/>
    <col min="3" max="3" width="15.28515625" style="1" bestFit="1" customWidth="1"/>
    <col min="4" max="6" width="10.7109375" style="1"/>
    <col min="7" max="7" width="6.42578125" style="1" customWidth="1"/>
    <col min="8" max="8" width="24.42578125" style="1" bestFit="1" customWidth="1"/>
    <col min="9" max="9" width="14.5703125" style="1" bestFit="1" customWidth="1"/>
    <col min="10" max="16384" width="10.7109375" style="1"/>
  </cols>
  <sheetData>
    <row r="1" spans="2:12" ht="19" thickBot="1"/>
    <row r="2" spans="2:12" ht="19" thickBot="1">
      <c r="B2" s="29" t="s">
        <v>300</v>
      </c>
      <c r="C2" s="30" t="s">
        <v>315</v>
      </c>
    </row>
    <row r="3" spans="2:12" ht="2" customHeight="1">
      <c r="C3" s="26"/>
    </row>
    <row r="4" spans="2:12" ht="28" customHeight="1">
      <c r="B4" s="1" t="s">
        <v>309</v>
      </c>
      <c r="C4" s="1" t="s">
        <v>314</v>
      </c>
      <c r="D4" s="1" t="s">
        <v>301</v>
      </c>
      <c r="E4" s="1" t="s">
        <v>302</v>
      </c>
      <c r="F4" s="1" t="s">
        <v>305</v>
      </c>
      <c r="H4" s="1" t="s">
        <v>310</v>
      </c>
      <c r="I4" s="1" t="s">
        <v>314</v>
      </c>
      <c r="J4" s="1" t="s">
        <v>301</v>
      </c>
      <c r="K4" s="1" t="s">
        <v>302</v>
      </c>
      <c r="L4" s="1" t="s">
        <v>305</v>
      </c>
    </row>
    <row r="5" spans="2:12" ht="6" customHeight="1">
      <c r="B5" s="28"/>
      <c r="C5" s="28"/>
      <c r="D5" s="28"/>
      <c r="E5" s="28"/>
      <c r="F5" s="28"/>
      <c r="H5" s="28"/>
      <c r="I5" s="28"/>
      <c r="J5" s="28"/>
      <c r="K5" s="28"/>
      <c r="L5" s="28"/>
    </row>
    <row r="6" spans="2:12">
      <c r="B6" s="1" t="e" cm="1" vm="1">
        <f t="array" aca="1" ref="B6" ca="1">_xlfn.UNIQUE(_xlfn._xlws.FILTER(RAW!G:G, (RAW!E:E=C2)*(RAW!N:N&gt;0)*(RAW!I:I="타이어"), ""))</f>
        <v>#VALUE!</v>
      </c>
      <c r="C6" s="3">
        <f ca="1">IFERROR((SUMIFS(RAW!N:N,RAW!G:G,입금현황!B6, RAW!E:E,입금현황!$C$49, RAW!I:I, "타이어")*1.1),"")</f>
        <v>0</v>
      </c>
      <c r="E6" s="27"/>
      <c r="H6" s="1" t="str" cm="1">
        <f t="array" ref="H6:H7">_xlfn.UNIQUE(_xlfn._xlws.FILTER(RAW!G:G, (RAW!E:E=C2)*(RAW!N:N&gt;0)*(RAW!I:I&lt;&gt;"타이어"), ""))</f>
        <v>에코파밍 주식회사</v>
      </c>
      <c r="I6" s="3">
        <f>((SUMIFS(RAW!N:N,RAW!E:E,입금현황!$C$49,RAW!G:G,입금현황!H6))-(SUMIFS(RAW!N:N,RAW!E:E,입금현황!$C$49,RAW!I:I,"타이어",RAW!G:G,입금현황!H6)))*1.1</f>
        <v>762300.00000000012</v>
      </c>
      <c r="K6" s="27"/>
    </row>
    <row r="7" spans="2:12" ht="19" thickBot="1">
      <c r="C7" s="3"/>
      <c r="H7" s="1" t="str">
        <v>주식회사 에스제이</v>
      </c>
      <c r="I7" s="3"/>
    </row>
    <row r="8" spans="2:12" ht="19" thickBot="1">
      <c r="B8" s="29" t="s">
        <v>300</v>
      </c>
      <c r="C8" s="30" t="s">
        <v>316</v>
      </c>
    </row>
    <row r="9" spans="2:12" ht="2" customHeight="1">
      <c r="C9" s="26"/>
    </row>
    <row r="10" spans="2:12" ht="28" customHeight="1">
      <c r="B10" s="1" t="s">
        <v>309</v>
      </c>
      <c r="C10" s="1" t="s">
        <v>314</v>
      </c>
      <c r="D10" s="1" t="s">
        <v>301</v>
      </c>
      <c r="E10" s="1" t="s">
        <v>302</v>
      </c>
      <c r="F10" s="1" t="s">
        <v>305</v>
      </c>
      <c r="H10" s="1" t="s">
        <v>310</v>
      </c>
      <c r="I10" s="1" t="s">
        <v>314</v>
      </c>
    </row>
    <row r="11" spans="2:12" ht="6" customHeight="1">
      <c r="B11" s="28"/>
      <c r="C11" s="28"/>
      <c r="D11" s="28"/>
      <c r="E11" s="28"/>
      <c r="F11" s="28"/>
      <c r="H11" s="28"/>
      <c r="I11" s="28"/>
      <c r="J11" s="28"/>
      <c r="K11" s="28"/>
      <c r="L11" s="28"/>
    </row>
    <row r="12" spans="2:12">
      <c r="B12" s="1" t="str" cm="1">
        <f t="array" ref="B12:B13">_xlfn.UNIQUE(_xlfn._xlws.FILTER(RAW!G:G, (RAW!E:E=C8)*(RAW!N:N&gt;0)*(RAW!I:I="타이어"), ""))</f>
        <v>혁신상사 주식회사</v>
      </c>
      <c r="C12" s="3">
        <f>IFERROR((SUMIFS(RAW!N:N,RAW!G:G,입금현황!B12, RAW!E:E,입금현황!$C$57, RAW!I:I, "타이어")*1.1),"")</f>
        <v>0</v>
      </c>
      <c r="E12" s="27"/>
      <c r="H12" s="1" t="str" cm="1">
        <f t="array" ref="H12:H13">_xlfn.UNIQUE(_xlfn._xlws.FILTER(RAW!G:G, (RAW!E:E=C8)*(RAW!N:N&gt;0)*(RAW!I:I&lt;&gt;"타이어"), ""))</f>
        <v>에코파밍 주식회사</v>
      </c>
      <c r="I12" s="3">
        <f>((SUMIFS(RAW!N:N,RAW!E:E,입금현황!$C$57,RAW!G:G,입금현황!H12))-(SUMIFS(RAW!N:N,RAW!E:E,입금현황!$C$57,RAW!I:I,"타이어",RAW!G:G,입금현황!H12)))*1.1</f>
        <v>762300.00000000012</v>
      </c>
      <c r="K12" s="27"/>
    </row>
    <row r="13" spans="2:12" ht="19" thickBot="1">
      <c r="B13" s="1" t="str">
        <v>(주)에이치씨물류</v>
      </c>
      <c r="C13" s="3"/>
      <c r="H13" s="1" t="str">
        <v>주식회사 에스제이</v>
      </c>
      <c r="I13" s="3"/>
    </row>
    <row r="14" spans="2:12" ht="19" thickBot="1">
      <c r="B14" s="29" t="s">
        <v>300</v>
      </c>
      <c r="C14" s="30" t="s">
        <v>127</v>
      </c>
    </row>
    <row r="15" spans="2:12" ht="2" customHeight="1">
      <c r="C15" s="26"/>
    </row>
    <row r="16" spans="2:12" ht="28" customHeight="1">
      <c r="B16" s="1" t="s">
        <v>309</v>
      </c>
      <c r="C16" s="1" t="s">
        <v>314</v>
      </c>
      <c r="D16" s="1" t="s">
        <v>301</v>
      </c>
      <c r="E16" s="1" t="s">
        <v>302</v>
      </c>
      <c r="F16" s="1" t="s">
        <v>305</v>
      </c>
      <c r="H16" s="1" t="s">
        <v>310</v>
      </c>
      <c r="I16" s="1" t="s">
        <v>314</v>
      </c>
      <c r="J16" s="1" t="s">
        <v>301</v>
      </c>
      <c r="K16" s="1" t="s">
        <v>302</v>
      </c>
      <c r="L16" s="1" t="s">
        <v>305</v>
      </c>
    </row>
    <row r="17" spans="2:12" ht="6" customHeight="1">
      <c r="B17" s="28"/>
      <c r="C17" s="28"/>
      <c r="D17" s="28"/>
      <c r="E17" s="28"/>
      <c r="F17" s="28"/>
      <c r="H17" s="28"/>
      <c r="I17" s="28"/>
      <c r="J17" s="28"/>
      <c r="K17" s="28"/>
      <c r="L17" s="28"/>
    </row>
    <row r="18" spans="2:12">
      <c r="B18" s="1" t="str" cm="1">
        <f t="array" ref="B18">_xlfn.UNIQUE(_xlfn._xlws.FILTER(RAW!G:G, (RAW!E:E=C14)*(RAW!N:N&gt;0)*(RAW!I:I="타이어"), ""))</f>
        <v>현대지게차경기북부판매(주)</v>
      </c>
      <c r="C18" s="3">
        <f>IFERROR((SUMIFS(RAW!N:N,RAW!G:G,입금현황!B18, RAW!E:E,입금현황!$C$64, RAW!I:I, "타이어")*1.1),"")</f>
        <v>1766600.0000000005</v>
      </c>
      <c r="E18" s="27"/>
      <c r="H18" s="1" t="str" cm="1">
        <f t="array" ref="H18:H20">_xlfn.UNIQUE(_xlfn._xlws.FILTER(RAW!G:G, (RAW!E:E=C14)*(RAW!N:N&gt;0)*(RAW!I:I&lt;&gt;"타이어"), ""))</f>
        <v>주식회사 에스제이</v>
      </c>
      <c r="I18" s="3">
        <f>((SUMIFS(RAW!N:N,RAW!E:E,입금현황!$C$14,RAW!G:G,입금현황!H18))-(SUMIFS(RAW!N:N,RAW!E:E,입금현황!$C$14,RAW!I:I,"타이어",RAW!G:G,입금현황!H18)))*1.1</f>
        <v>1754500.0000000005</v>
      </c>
      <c r="J18" s="1" t="s">
        <v>303</v>
      </c>
      <c r="K18" s="27"/>
    </row>
    <row r="19" spans="2:12">
      <c r="C19" s="3">
        <f>IFERROR((SUMIFS(RAW!N:N,RAW!G:G,입금현황!B19, RAW!E:E,입금현황!$C$64, RAW!I:I, "타이어")*1.1),"")</f>
        <v>0</v>
      </c>
      <c r="E19" s="27"/>
      <c r="H19" s="1" t="str">
        <v>코오롱글로벌(주)상사부문</v>
      </c>
      <c r="I19" s="3">
        <f>((SUMIFS(RAW!N:N,RAW!E:E,입금현황!$C$14,RAW!G:G,입금현황!H19))-(SUMIFS(RAW!N:N,RAW!E:E,입금현황!$C$14,RAW!I:I,"타이어",RAW!G:G,입금현황!H19)))*1.1</f>
        <v>3630000.0000000009</v>
      </c>
      <c r="J19" s="1" t="s">
        <v>303</v>
      </c>
      <c r="K19" s="27"/>
    </row>
    <row r="20" spans="2:12" ht="19" thickBot="1">
      <c r="H20" s="1" t="str">
        <v>에코파밍 주식회사</v>
      </c>
    </row>
    <row r="21" spans="2:12" ht="19" thickBot="1">
      <c r="B21" s="29" t="s">
        <v>300</v>
      </c>
      <c r="C21" s="30" t="s">
        <v>128</v>
      </c>
    </row>
    <row r="22" spans="2:12" ht="4" customHeight="1">
      <c r="C22" s="26"/>
    </row>
    <row r="23" spans="2:12" ht="28" customHeight="1">
      <c r="B23" s="1" t="s">
        <v>309</v>
      </c>
      <c r="C23" s="1" t="s">
        <v>314</v>
      </c>
      <c r="D23" s="1" t="s">
        <v>301</v>
      </c>
      <c r="E23" s="1" t="s">
        <v>302</v>
      </c>
      <c r="F23" s="1" t="s">
        <v>305</v>
      </c>
      <c r="H23" s="1" t="s">
        <v>310</v>
      </c>
      <c r="I23" s="1" t="s">
        <v>314</v>
      </c>
      <c r="J23" s="1" t="s">
        <v>301</v>
      </c>
      <c r="K23" s="1" t="s">
        <v>302</v>
      </c>
      <c r="L23" s="1" t="s">
        <v>305</v>
      </c>
    </row>
    <row r="24" spans="2:12" ht="6" customHeight="1">
      <c r="B24" s="28"/>
      <c r="C24" s="28"/>
      <c r="D24" s="28"/>
      <c r="E24" s="28"/>
      <c r="F24" s="28"/>
      <c r="H24" s="28"/>
      <c r="I24" s="28"/>
      <c r="J24" s="28"/>
      <c r="K24" s="28"/>
      <c r="L24" s="28"/>
    </row>
    <row r="25" spans="2:12">
      <c r="B25" s="1" t="str" cm="1">
        <f t="array" ref="B25:B26">_xlfn.UNIQUE(_xlfn._xlws.FILTER(RAW!G:G, (RAW!E:E=C21)*(RAW!N:N&gt;0)*(RAW!I:I="타이어"), ""))</f>
        <v>도화중기주식회사</v>
      </c>
      <c r="C25" s="3">
        <f>IFERROR((SUMIFS(RAW!N:N,RAW!G:G,입금현황!B25, RAW!E:E,입금현황!$C$21, RAW!I:I, "타이어")*1.1),"")</f>
        <v>2458720</v>
      </c>
      <c r="D25" s="1" t="s">
        <v>303</v>
      </c>
      <c r="E25" s="27"/>
      <c r="H25" s="1" t="str" cm="1">
        <f t="array" ref="H25:H26">_xlfn.UNIQUE(_xlfn._xlws.FILTER(RAW!G:G, (RAW!E:E=C21)*(RAW!N:N&gt;0)*(RAW!I:I&lt;&gt;"타이어"), ""))</f>
        <v>주식회사 에스제이</v>
      </c>
      <c r="I25" s="3">
        <f>((SUMIFS(RAW!N:N,RAW!E:E,입금현황!$C$21,RAW!G:G,입금현황!H25))-(SUMIFS(RAW!N:N,RAW!E:E,입금현황!$C$21,RAW!I:I,"타이어",RAW!G:G,입금현황!H25)))*1.1</f>
        <v>1754500.0000000005</v>
      </c>
      <c r="J25" s="1" t="s">
        <v>303</v>
      </c>
      <c r="K25" s="27"/>
    </row>
    <row r="26" spans="2:12">
      <c r="B26" s="1" t="str">
        <v>상주대형중기화물</v>
      </c>
      <c r="C26" s="3">
        <f>IFERROR((SUMIFS(RAW!N:N,RAW!G:G,입금현황!B26, RAW!E:E,입금현황!$C$21, RAW!I:I, "타이어")*1.1),"")</f>
        <v>3264580.0000000005</v>
      </c>
      <c r="D26" s="1" t="s">
        <v>303</v>
      </c>
      <c r="E26" s="27"/>
      <c r="H26" s="1" t="str">
        <v>에코파밍 주식회사</v>
      </c>
      <c r="I26" s="3">
        <f>((SUMIFS(RAW!N:N,RAW!E:E,입금현황!$C$21,RAW!G:G,입금현황!H26))-(SUMIFS(RAW!N:N,RAW!E:E,입금현황!$C$21,RAW!I:I,"타이어",RAW!G:G,입금현황!H26)))*1.1</f>
        <v>762300.00000000012</v>
      </c>
      <c r="J26" s="1" t="s">
        <v>303</v>
      </c>
      <c r="K26" s="27"/>
    </row>
    <row r="27" spans="2:12" ht="19" thickBot="1"/>
    <row r="28" spans="2:12" ht="19" thickBot="1">
      <c r="B28" s="29" t="s">
        <v>300</v>
      </c>
      <c r="C28" s="30" t="s">
        <v>71</v>
      </c>
    </row>
    <row r="29" spans="2:12" ht="2" customHeight="1">
      <c r="C29" s="26"/>
    </row>
    <row r="30" spans="2:12" ht="28" customHeight="1">
      <c r="B30" s="1" t="s">
        <v>309</v>
      </c>
      <c r="C30" s="1" t="s">
        <v>314</v>
      </c>
      <c r="D30" s="1" t="s">
        <v>301</v>
      </c>
      <c r="E30" s="1" t="s">
        <v>302</v>
      </c>
      <c r="F30" s="1" t="s">
        <v>305</v>
      </c>
      <c r="H30" s="1" t="s">
        <v>310</v>
      </c>
      <c r="I30" s="1" t="s">
        <v>314</v>
      </c>
      <c r="J30" s="1" t="s">
        <v>301</v>
      </c>
      <c r="K30" s="1" t="s">
        <v>302</v>
      </c>
      <c r="L30" s="1" t="s">
        <v>305</v>
      </c>
    </row>
    <row r="31" spans="2:12" ht="6" customHeight="1">
      <c r="B31" s="28"/>
      <c r="C31" s="28"/>
      <c r="D31" s="28"/>
      <c r="E31" s="28"/>
      <c r="F31" s="28"/>
      <c r="H31" s="28"/>
      <c r="I31" s="28"/>
      <c r="J31" s="28"/>
      <c r="K31" s="28"/>
      <c r="L31" s="28"/>
    </row>
    <row r="32" spans="2:12">
      <c r="B32" s="1" t="str" cm="1">
        <f t="array" ref="B32:B36">_xlfn.UNIQUE(_xlfn._xlws.FILTER(RAW!G:G, (RAW!E:E=C28)*(RAW!N:N&gt;0)*(RAW!I:I="타이어"), ""))</f>
        <v>상주대형중기화물</v>
      </c>
      <c r="C32" s="3">
        <f>IFERROR((SUMIFS(RAW!N:N,RAW!G:G,입금현황!B32, RAW!E:E,입금현황!$C$28, RAW!I:I, "타이어")*1.1),"")</f>
        <v>1904540.0000000005</v>
      </c>
      <c r="D32" s="1" t="s">
        <v>303</v>
      </c>
      <c r="E32" s="27"/>
      <c r="H32" s="1" t="str" cm="1">
        <f t="array" ref="H32:H36">_xlfn.UNIQUE(_xlfn._xlws.FILTER(RAW!G:G, (RAW!E:E=C28)*(RAW!N:N&gt;0)*(RAW!I:I&lt;&gt;"타이어"), ""))</f>
        <v>동성종합지게차</v>
      </c>
      <c r="I32" s="3">
        <f>((SUMIFS(RAW!N:N,RAW!E:E,입금현황!$C$28,RAW!G:G,입금현황!H32))-(SUMIFS(RAW!N:N,RAW!E:E,입금현황!$C$28,RAW!I:I,"타이어",RAW!G:G,입금현황!H32)))*1.1</f>
        <v>72600000.000000015</v>
      </c>
      <c r="J32" s="1" t="s">
        <v>303</v>
      </c>
      <c r="K32" s="27"/>
    </row>
    <row r="33" spans="2:12">
      <c r="B33" s="1" t="str">
        <v>도화중기주식회사</v>
      </c>
      <c r="C33" s="3">
        <f>IFERROR((SUMIFS(RAW!N:N,RAW!G:G,입금현황!B33, RAW!E:E,입금현황!$C$28, RAW!I:I, "타이어")*1.1),"")</f>
        <v>13670580.000000002</v>
      </c>
      <c r="D33" s="1" t="s">
        <v>303</v>
      </c>
      <c r="E33" s="27"/>
      <c r="H33" s="1" t="str">
        <v>에코파밍 주식회사</v>
      </c>
      <c r="I33" s="3">
        <f>((SUMIFS(RAW!N:N,RAW!E:E,입금현황!$C$28,RAW!G:G,입금현황!H33))-(SUMIFS(RAW!N:N,RAW!E:E,입금현황!$C$28,RAW!I:I,"타이어",RAW!G:G,입금현황!H33)))*1.1</f>
        <v>762300.00000000012</v>
      </c>
      <c r="J33" s="1" t="s">
        <v>303</v>
      </c>
      <c r="K33" s="27"/>
    </row>
    <row r="34" spans="2:12">
      <c r="B34" s="1" t="str">
        <v>(주)디피엘</v>
      </c>
      <c r="C34" s="3">
        <f>IFERROR((SUMIFS(RAW!N:N,RAW!G:G,입금현황!B34, RAW!E:E,입금현황!$C$28, RAW!I:I, "타이어")*1.1),"")</f>
        <v>696960.00000000023</v>
      </c>
      <c r="D34" s="1" t="s">
        <v>303</v>
      </c>
      <c r="E34" s="27"/>
      <c r="H34" s="1" t="str">
        <v>주식회사 에스제이</v>
      </c>
      <c r="I34" s="3">
        <f>((SUMIFS(RAW!N:N,RAW!E:E,입금현황!$C$28,RAW!G:G,입금현황!H34))-(SUMIFS(RAW!N:N,RAW!E:E,입금현황!$C$28,RAW!I:I,"타이어",RAW!G:G,입금현황!H34)))*1.1</f>
        <v>4416500</v>
      </c>
      <c r="J34" s="1" t="s">
        <v>303</v>
      </c>
      <c r="K34" s="27"/>
    </row>
    <row r="35" spans="2:12">
      <c r="B35" s="1" t="str">
        <v>현대지게차경기북부판매(주)</v>
      </c>
      <c r="C35" s="3">
        <f>IFERROR((SUMIFS(RAW!N:N,RAW!G:G,입금현황!B35, RAW!E:E,입금현황!$C$28, RAW!I:I, "타이어")*1.1),"")</f>
        <v>3751000.0000000005</v>
      </c>
      <c r="D35" s="1" t="s">
        <v>303</v>
      </c>
      <c r="E35" s="27"/>
      <c r="H35" s="1" t="str">
        <v>현대지게차경기북부판매(주)</v>
      </c>
      <c r="I35" s="3">
        <f>((SUMIFS(RAW!N:N,RAW!E:E,입금현황!$C$28,RAW!G:G,입금현황!H35))-(SUMIFS(RAW!N:N,RAW!E:E,입금현황!$C$28,RAW!I:I,"타이어",RAW!G:G,입금현황!H35)))*1.1</f>
        <v>2420000</v>
      </c>
      <c r="J35" s="1" t="s">
        <v>303</v>
      </c>
      <c r="K35" s="27"/>
    </row>
    <row r="36" spans="2:12">
      <c r="B36" s="1" t="str">
        <v>주식회사 현대지게차</v>
      </c>
      <c r="C36" s="3">
        <f>IFERROR((SUMIFS(RAW!N:N,RAW!G:G,입금현황!B36, RAW!E:E,입금현황!$C$28, RAW!I:I, "타이어")*1.1),"")</f>
        <v>217800.00000000006</v>
      </c>
      <c r="D36" s="1" t="s">
        <v>303</v>
      </c>
      <c r="E36" s="27"/>
      <c r="H36" s="1" t="str">
        <v>선호지게차</v>
      </c>
      <c r="I36" s="3"/>
      <c r="J36" s="1" t="s">
        <v>303</v>
      </c>
      <c r="K36" s="27"/>
    </row>
    <row r="37" spans="2:12" ht="19" thickBot="1">
      <c r="C37" s="3"/>
      <c r="E37" s="27"/>
      <c r="I37" s="3"/>
      <c r="K37" s="27"/>
    </row>
    <row r="38" spans="2:12" ht="19" thickBot="1">
      <c r="B38" s="29" t="s">
        <v>300</v>
      </c>
      <c r="C38" s="30" t="s">
        <v>72</v>
      </c>
    </row>
    <row r="39" spans="2:12" ht="2" customHeight="1">
      <c r="C39" s="26"/>
    </row>
    <row r="40" spans="2:12" ht="28" customHeight="1">
      <c r="B40" s="1" t="s">
        <v>309</v>
      </c>
      <c r="C40" s="1" t="s">
        <v>314</v>
      </c>
      <c r="D40" s="1" t="s">
        <v>301</v>
      </c>
      <c r="E40" s="1" t="s">
        <v>302</v>
      </c>
      <c r="F40" s="1" t="s">
        <v>305</v>
      </c>
      <c r="H40" s="1" t="s">
        <v>310</v>
      </c>
      <c r="I40" s="1" t="s">
        <v>314</v>
      </c>
      <c r="J40" s="1" t="s">
        <v>301</v>
      </c>
      <c r="K40" s="1" t="s">
        <v>302</v>
      </c>
      <c r="L40" s="1" t="s">
        <v>305</v>
      </c>
    </row>
    <row r="41" spans="2:12" ht="6" customHeight="1">
      <c r="B41" s="28"/>
      <c r="C41" s="28"/>
      <c r="D41" s="28"/>
      <c r="E41" s="28"/>
      <c r="F41" s="28"/>
      <c r="H41" s="28"/>
      <c r="I41" s="28"/>
      <c r="J41" s="28"/>
      <c r="K41" s="28"/>
      <c r="L41" s="28"/>
    </row>
    <row r="42" spans="2:12">
      <c r="B42" s="1" t="str" cm="1">
        <f t="array" ref="B42:B45">_xlfn.UNIQUE(_xlfn._xlws.FILTER(RAW!G:G, (RAW!E:E=C38)*(RAW!N:N&gt;0)*(RAW!I:I="타이어"), ""))</f>
        <v>현대지게차경기북부판매(주)</v>
      </c>
      <c r="C42" s="3">
        <f>IFERROR((SUMIFS(RAW!N:N,RAW!G:G,입금현황!B42, RAW!E:E,입금현황!$C$38, RAW!I:I, "타이어")*1.1),"")</f>
        <v>3726800.0000000005</v>
      </c>
      <c r="D42" s="1" t="s">
        <v>303</v>
      </c>
      <c r="E42" s="27"/>
      <c r="H42" s="1" t="str" cm="1">
        <f t="array" ref="H42:H47">_xlfn.UNIQUE(_xlfn._xlws.FILTER(RAW!G:G, (RAW!E:E=C38)*(RAW!N:N&gt;0)*(RAW!I:I&lt;&gt;"타이어"), ""))</f>
        <v>동성종합지게차</v>
      </c>
      <c r="I42" s="3">
        <f>((SUMIFS(RAW!N:N,RAW!E:E,입금현황!$C$38,RAW!G:G,입금현황!H42))-(SUMIFS(RAW!N:N,RAW!E:E,입금현황!$C$38,RAW!I:I,"타이어",RAW!G:G,입금현황!H42)))*1.1</f>
        <v>5592341.7000000002</v>
      </c>
      <c r="J42" s="1" t="s">
        <v>303</v>
      </c>
      <c r="K42" s="27"/>
    </row>
    <row r="43" spans="2:12">
      <c r="B43" s="1" t="str">
        <v>도화중기주식회사</v>
      </c>
      <c r="C43" s="3">
        <f>IFERROR((SUMIFS(RAW!N:N,RAW!G:G,입금현황!B43, RAW!E:E,입금현황!$C$38, RAW!I:I, "타이어")*1.1),"")</f>
        <v>2640220</v>
      </c>
      <c r="D43" s="1" t="s">
        <v>303</v>
      </c>
      <c r="E43" s="27"/>
      <c r="H43" s="1" t="str">
        <v>주식회사 에스제이</v>
      </c>
      <c r="I43" s="3">
        <f>((SUMIFS(RAW!N:N,RAW!E:E,입금현황!$C$38,RAW!G:G,입금현황!H43))-(SUMIFS(RAW!N:N,RAW!E:E,입금현황!$C$38,RAW!I:I,"타이어",RAW!G:G,입금현황!H43)))*1.1</f>
        <v>5626500</v>
      </c>
      <c r="J43" s="1" t="s">
        <v>303</v>
      </c>
      <c r="K43" s="27"/>
    </row>
    <row r="44" spans="2:12">
      <c r="B44" s="1" t="str">
        <v>동성종합지게차</v>
      </c>
      <c r="C44" s="3">
        <f>IFERROR((SUMIFS(RAW!N:N,RAW!G:G,입금현황!B44, RAW!E:E,입금현황!$C$38, RAW!I:I, "타이어")*1.1),"")</f>
        <v>1827100.0000000002</v>
      </c>
      <c r="D44" s="1" t="s">
        <v>303</v>
      </c>
      <c r="E44" s="27"/>
      <c r="H44" s="1" t="str">
        <v>에코파밍 주식회사</v>
      </c>
      <c r="I44" s="3">
        <f>((SUMIFS(RAW!N:N,RAW!E:E,입금현황!$C$38,RAW!G:G,입금현황!H44))-(SUMIFS(RAW!N:N,RAW!E:E,입금현황!$C$38,RAW!I:I,"타이어",RAW!G:G,입금현황!H44)))*1.1</f>
        <v>762300.00000000012</v>
      </c>
      <c r="J44" s="1" t="s">
        <v>303</v>
      </c>
      <c r="K44" s="27"/>
    </row>
    <row r="45" spans="2:12">
      <c r="B45" s="1" t="str">
        <v>백호중기</v>
      </c>
      <c r="C45" s="3">
        <f>IFERROR((SUMIFS(RAW!N:N,RAW!G:G,입금현황!B45, RAW!E:E,입금현황!$C$38, RAW!I:I, "타이어")*1.1),"")</f>
        <v>1452000.0000000002</v>
      </c>
      <c r="D45" s="1" t="s">
        <v>303</v>
      </c>
      <c r="E45" s="27"/>
      <c r="H45" s="1" t="str">
        <v>주식회사 크린어스</v>
      </c>
      <c r="I45" s="3">
        <f>((SUMIFS(RAW!N:N,RAW!E:E,입금현황!$C$38,RAW!G:G,입금현황!H45))-(SUMIFS(RAW!N:N,RAW!E:E,입금현황!$C$38,RAW!I:I,"타이어",RAW!G:G,입금현황!H45)))*1.1</f>
        <v>4307600.0000000009</v>
      </c>
      <c r="J45" s="1" t="s">
        <v>303</v>
      </c>
      <c r="K45" s="27"/>
    </row>
    <row r="46" spans="2:12">
      <c r="C46" s="3">
        <f>IFERROR((SUMIFS(RAW!N:N,RAW!G:G,입금현황!B46, RAW!E:E,입금현황!$C$89, RAW!I:I, "타이어")*1.1),"")</f>
        <v>0</v>
      </c>
      <c r="E46" s="27"/>
      <c r="H46" s="1" t="str">
        <v>코오롱글로벌(주)상사부문</v>
      </c>
      <c r="I46" s="3">
        <f>((SUMIFS(RAW!N:N,RAW!E:E,입금현황!$C$38,RAW!G:G,입금현황!H46))-(SUMIFS(RAW!N:N,RAW!E:E,입금현황!$C$38,RAW!I:I,"타이어",RAW!G:G,입금현황!H46)))*1.1</f>
        <v>18755000</v>
      </c>
      <c r="J46" s="1" t="s">
        <v>304</v>
      </c>
    </row>
    <row r="47" spans="2:12">
      <c r="C47" s="3">
        <f>IFERROR((SUMIFS(RAW!N:N,RAW!G:G,입금현황!B47, RAW!E:E,입금현황!$C$89, RAW!I:I, "타이어")*1.1),"")</f>
        <v>0</v>
      </c>
      <c r="H47" s="1" t="str">
        <v>농업회사법인 주식회사 이엔푸드</v>
      </c>
      <c r="I47" s="3">
        <f>((SUMIFS(RAW!N:N,RAW!E:E,입금현황!$C$38,RAW!G:G,입금현황!H47))-(SUMIFS(RAW!N:N,RAW!E:E,입금현황!$C$38,RAW!I:I,"타이어",RAW!G:G,입금현황!H47)))*1.1</f>
        <v>387200.00000000006</v>
      </c>
      <c r="J47" s="1" t="s">
        <v>304</v>
      </c>
    </row>
    <row r="48" spans="2:12" ht="19" thickBot="1">
      <c r="C48" s="3"/>
      <c r="I48" s="3"/>
    </row>
    <row r="49" spans="2:12" ht="19" thickBot="1">
      <c r="B49" s="29" t="s">
        <v>300</v>
      </c>
      <c r="C49" s="30" t="s">
        <v>73</v>
      </c>
    </row>
    <row r="50" spans="2:12" ht="2" customHeight="1">
      <c r="C50" s="26"/>
    </row>
    <row r="51" spans="2:12" ht="28" customHeight="1">
      <c r="B51" s="1" t="s">
        <v>309</v>
      </c>
      <c r="C51" s="1" t="s">
        <v>314</v>
      </c>
      <c r="D51" s="1" t="s">
        <v>301</v>
      </c>
      <c r="E51" s="1" t="s">
        <v>302</v>
      </c>
      <c r="F51" s="1" t="s">
        <v>305</v>
      </c>
      <c r="H51" s="1" t="s">
        <v>310</v>
      </c>
      <c r="I51" s="1" t="s">
        <v>314</v>
      </c>
      <c r="J51" s="1" t="s">
        <v>301</v>
      </c>
      <c r="K51" s="1" t="s">
        <v>302</v>
      </c>
      <c r="L51" s="1" t="s">
        <v>305</v>
      </c>
    </row>
    <row r="52" spans="2:12" ht="6" customHeight="1">
      <c r="B52" s="28"/>
      <c r="C52" s="28"/>
      <c r="D52" s="28"/>
      <c r="E52" s="28"/>
      <c r="F52" s="28"/>
      <c r="H52" s="28"/>
      <c r="I52" s="28"/>
      <c r="J52" s="28"/>
      <c r="K52" s="28"/>
      <c r="L52" s="28"/>
    </row>
    <row r="53" spans="2:12">
      <c r="B53" s="1" t="str" cm="1">
        <f t="array" ref="B53:B55">_xlfn.UNIQUE(_xlfn._xlws.FILTER(RAW!G:G, (RAW!E:E=C49)*(RAW!N:N&gt;0)*(RAW!I:I="타이어"), ""))</f>
        <v>현대지게차경기북부판매(주)</v>
      </c>
      <c r="C53" s="3">
        <f>IFERROR((SUMIFS(RAW!N:N,RAW!G:G,입금현황!B53, RAW!E:E,입금현황!$C$49, RAW!I:I, "타이어")*1.1),"")</f>
        <v>5043280.0000000019</v>
      </c>
      <c r="D53" s="1" t="s">
        <v>303</v>
      </c>
      <c r="E53" s="27"/>
      <c r="H53" s="1" t="str" cm="1">
        <f t="array" ref="H53:H54">_xlfn.UNIQUE(_xlfn._xlws.FILTER(RAW!G:G, (RAW!E:E=C49)*(RAW!N:N&gt;0)*(RAW!I:I&lt;&gt;"타이어"), ""))</f>
        <v>주식회사 에스제이</v>
      </c>
      <c r="I53" s="3">
        <f>((SUMIFS(RAW!N:N,RAW!E:E,입금현황!$C$49,RAW!G:G,입금현황!H53))-(SUMIFS(RAW!N:N,RAW!E:E,입금현황!$C$49,RAW!I:I,"타이어",RAW!G:G,입금현황!H53)))*1.1</f>
        <v>4416500</v>
      </c>
      <c r="J53" s="1" t="s">
        <v>303</v>
      </c>
      <c r="K53" s="27"/>
    </row>
    <row r="54" spans="2:12">
      <c r="B54" s="1" t="str">
        <v>백호중기</v>
      </c>
      <c r="C54" s="3">
        <f>IFERROR((SUMIFS(RAW!N:N,RAW!G:G,입금현황!B54, RAW!E:E,입금현황!$C$49, RAW!I:I, "타이어")*1.1),"")</f>
        <v>4646400</v>
      </c>
      <c r="D54" s="1" t="s">
        <v>303</v>
      </c>
      <c r="E54" s="27"/>
      <c r="H54" s="1" t="str">
        <v>에코파밍 주식회사</v>
      </c>
      <c r="I54" s="3">
        <f>((SUMIFS(RAW!N:N,RAW!E:E,입금현황!$C$49,RAW!G:G,입금현황!H54))-(SUMIFS(RAW!N:N,RAW!E:E,입금현황!$C$49,RAW!I:I,"타이어",RAW!G:G,입금현황!H54)))*1.1</f>
        <v>762300.00000000012</v>
      </c>
      <c r="J54" s="1" t="s">
        <v>303</v>
      </c>
      <c r="K54" s="27"/>
    </row>
    <row r="55" spans="2:12">
      <c r="B55" s="1" t="str">
        <v>도화중기주식회사</v>
      </c>
      <c r="C55" s="3">
        <f>IFERROR((SUMIFS(RAW!N:N,RAW!G:G,입금현황!B55, RAW!E:E,입금현황!$C$49, RAW!I:I, "타이어")*1.1),"")</f>
        <v>3775200.0000000005</v>
      </c>
      <c r="D55" s="1" t="s">
        <v>303</v>
      </c>
      <c r="E55" s="27"/>
      <c r="I55" s="3"/>
      <c r="K55" s="27"/>
    </row>
    <row r="56" spans="2:12" ht="19" thickBot="1">
      <c r="C56" s="3"/>
      <c r="I56" s="3"/>
    </row>
    <row r="57" spans="2:12" ht="19" thickBot="1">
      <c r="B57" s="29" t="s">
        <v>300</v>
      </c>
      <c r="C57" s="30" t="s">
        <v>74</v>
      </c>
    </row>
    <row r="58" spans="2:12" ht="2" customHeight="1">
      <c r="C58" s="26"/>
    </row>
    <row r="59" spans="2:12" ht="28" customHeight="1">
      <c r="B59" s="1" t="s">
        <v>309</v>
      </c>
      <c r="C59" s="1" t="s">
        <v>314</v>
      </c>
      <c r="D59" s="1" t="s">
        <v>301</v>
      </c>
      <c r="E59" s="1" t="s">
        <v>302</v>
      </c>
      <c r="F59" s="1" t="s">
        <v>305</v>
      </c>
      <c r="H59" s="1" t="s">
        <v>310</v>
      </c>
      <c r="I59" s="1" t="s">
        <v>314</v>
      </c>
    </row>
    <row r="60" spans="2:12" ht="6" customHeight="1">
      <c r="B60" s="28"/>
      <c r="C60" s="28"/>
      <c r="D60" s="28"/>
      <c r="E60" s="28"/>
      <c r="F60" s="28"/>
      <c r="H60" s="28"/>
      <c r="I60" s="28"/>
      <c r="J60" s="28"/>
      <c r="K60" s="28"/>
      <c r="L60" s="28"/>
    </row>
    <row r="61" spans="2:12">
      <c r="B61" s="1" t="str" cm="1">
        <f t="array" ref="B61:B62">_xlfn.UNIQUE(_xlfn._xlws.FILTER(RAW!G:G, (RAW!E:E=C57)*(RAW!N:N&gt;0)*(RAW!I:I="타이어"), ""))</f>
        <v>현대지게차경기북부판매(주)</v>
      </c>
      <c r="C61" s="3">
        <f>IFERROR((SUMIFS(RAW!N:N,RAW!G:G,입금현황!B61, RAW!E:E,입금현황!$C$57, RAW!I:I, "타이어")*1.1),"")</f>
        <v>3496900.0000000009</v>
      </c>
      <c r="D61" s="1" t="s">
        <v>303</v>
      </c>
      <c r="E61" s="27"/>
      <c r="H61" s="1" t="str" cm="1">
        <f t="array" ref="H61:H62">_xlfn.UNIQUE(_xlfn._xlws.FILTER(RAW!G:G, (RAW!E:E=C57)*(RAW!N:N&gt;0)*(RAW!I:I&lt;&gt;"타이어"), ""))</f>
        <v>주식회사 에스제이</v>
      </c>
      <c r="I61" s="3">
        <f>((SUMIFS(RAW!N:N,RAW!E:E,입금현황!$C$57,RAW!G:G,입금현황!H61))-(SUMIFS(RAW!N:N,RAW!E:E,입금현황!$C$57,RAW!I:I,"타이어",RAW!G:G,입금현황!H61)))*1.1</f>
        <v>4416500</v>
      </c>
      <c r="J61" s="1" t="s">
        <v>303</v>
      </c>
      <c r="K61" s="27"/>
    </row>
    <row r="62" spans="2:12">
      <c r="B62" s="1" t="str">
        <v>백호중기</v>
      </c>
      <c r="C62" s="3">
        <f>IFERROR((SUMIFS(RAW!N:N,RAW!G:G,입금현황!B62, RAW!E:E,입금현황!$C$57, RAW!I:I, "타이어")*1.1),"")</f>
        <v>5904800.0000000009</v>
      </c>
      <c r="D62" s="1" t="s">
        <v>303</v>
      </c>
      <c r="E62" s="27"/>
      <c r="H62" s="1" t="str">
        <v>에코파밍 주식회사</v>
      </c>
      <c r="I62" s="3">
        <f>((SUMIFS(RAW!N:N,RAW!E:E,입금현황!$C$57,RAW!G:G,입금현황!H62))-(SUMIFS(RAW!N:N,RAW!E:E,입금현황!$C$57,RAW!I:I,"타이어",RAW!G:G,입금현황!H62)))*1.1</f>
        <v>762300.00000000012</v>
      </c>
      <c r="J62" s="1" t="s">
        <v>303</v>
      </c>
      <c r="K62" s="27"/>
    </row>
    <row r="63" spans="2:12" ht="19" thickBot="1">
      <c r="C63" s="3"/>
      <c r="I63" s="3"/>
    </row>
    <row r="64" spans="2:12" ht="19" thickBot="1">
      <c r="B64" s="29" t="s">
        <v>300</v>
      </c>
      <c r="C64" s="30" t="s">
        <v>75</v>
      </c>
    </row>
    <row r="65" spans="2:12" ht="2" customHeight="1">
      <c r="C65" s="26"/>
    </row>
    <row r="66" spans="2:12" ht="28" customHeight="1">
      <c r="B66" s="1" t="s">
        <v>309</v>
      </c>
      <c r="C66" s="1" t="s">
        <v>314</v>
      </c>
      <c r="D66" s="1" t="s">
        <v>301</v>
      </c>
      <c r="E66" s="1" t="s">
        <v>302</v>
      </c>
      <c r="F66" s="1" t="s">
        <v>305</v>
      </c>
      <c r="H66" s="1" t="s">
        <v>310</v>
      </c>
      <c r="I66" s="1" t="s">
        <v>314</v>
      </c>
      <c r="J66" s="1" t="s">
        <v>301</v>
      </c>
      <c r="K66" s="1" t="s">
        <v>302</v>
      </c>
      <c r="L66" s="1" t="s">
        <v>305</v>
      </c>
    </row>
    <row r="67" spans="2:12" ht="6" customHeight="1">
      <c r="B67" s="28"/>
      <c r="C67" s="28"/>
      <c r="D67" s="28"/>
      <c r="E67" s="28"/>
      <c r="F67" s="28"/>
      <c r="H67" s="28"/>
      <c r="I67" s="28"/>
      <c r="J67" s="28"/>
      <c r="K67" s="28"/>
      <c r="L67" s="28"/>
    </row>
    <row r="68" spans="2:12">
      <c r="B68" s="1" t="str" cm="1">
        <f t="array" ref="B68:B71">_xlfn.UNIQUE(_xlfn._xlws.FILTER(RAW!G:G, (RAW!E:E=C64)*(RAW!N:N&gt;0)*(RAW!I:I="타이어"), ""))</f>
        <v>현대지게차경기북부판매(주)</v>
      </c>
      <c r="C68" s="3">
        <f>IFERROR((SUMIFS(RAW!N:N,RAW!G:G,입금현황!B68, RAW!E:E,입금현황!$C$64, RAW!I:I, "타이어")*1.1),"")</f>
        <v>1766600.0000000005</v>
      </c>
      <c r="D68" s="1" t="s">
        <v>303</v>
      </c>
      <c r="E68" s="27"/>
      <c r="H68" s="1" t="str" cm="1">
        <f t="array" ref="H68:H69">_xlfn.UNIQUE(_xlfn._xlws.FILTER(RAW!G:G, (RAW!E:E=C64)*(RAW!N:N&gt;0)*(RAW!I:I&lt;&gt;"타이어"), ""))</f>
        <v>에코파밍 주식회사</v>
      </c>
      <c r="I68" s="3">
        <f>((SUMIFS(RAW!N:N,RAW!E:E,입금현황!$C$64,RAW!G:G,입금현황!H68))-(SUMIFS(RAW!N:N,RAW!E:E,입금현황!$C$64,RAW!I:I,"타이어",RAW!G:G,입금현황!H68)))*1.1</f>
        <v>762300.00000000012</v>
      </c>
      <c r="J68" s="1" t="s">
        <v>303</v>
      </c>
      <c r="K68" s="27"/>
    </row>
    <row r="69" spans="2:12">
      <c r="B69" s="1" t="str">
        <v>도화중기주식회사</v>
      </c>
      <c r="C69" s="3">
        <f>IFERROR((SUMIFS(RAW!N:N,RAW!G:G,입금현황!B69, RAW!E:E,입금현황!$C$64, RAW!I:I, "타이어")*1.1),"")</f>
        <v>254100.00000000006</v>
      </c>
      <c r="D69" s="1" t="s">
        <v>303</v>
      </c>
      <c r="E69" s="27"/>
      <c r="H69" s="1" t="str">
        <v>주식회사 에스제이</v>
      </c>
      <c r="I69" s="3">
        <f>((SUMIFS(RAW!N:N,RAW!E:E,입금현황!$C$64,RAW!G:G,입금현황!H69))-(SUMIFS(RAW!N:N,RAW!E:E,입금현황!$C$64,RAW!I:I,"타이어",RAW!G:G,입금현황!H69)))*1.1</f>
        <v>4416500</v>
      </c>
      <c r="J69" s="1" t="s">
        <v>303</v>
      </c>
      <c r="K69" s="27"/>
    </row>
    <row r="70" spans="2:12">
      <c r="B70" s="1" t="str">
        <v>백호중기</v>
      </c>
      <c r="C70" s="3">
        <f>IFERROR((SUMIFS(RAW!N:N,RAW!G:G,입금현황!B70, RAW!E:E,입금현황!$C$64, RAW!I:I, "타이어")*1.1),"")</f>
        <v>10810140</v>
      </c>
      <c r="D70" s="1" t="s">
        <v>303</v>
      </c>
      <c r="E70" s="27"/>
      <c r="I70" s="3"/>
      <c r="K70" s="27"/>
    </row>
    <row r="71" spans="2:12">
      <c r="B71" s="1" t="str">
        <v>두산지게차순천판매주식회사</v>
      </c>
      <c r="C71" s="3">
        <f>IFERROR((SUMIFS(RAW!N:N,RAW!G:G,입금현황!B71, RAW!E:E,입금현황!$C$64, RAW!I:I, "타이어")*1.1),"")</f>
        <v>658240</v>
      </c>
      <c r="D71" s="1" t="s">
        <v>303</v>
      </c>
      <c r="E71" s="27"/>
      <c r="I71" s="3"/>
      <c r="K71" s="27"/>
    </row>
    <row r="72" spans="2:12" ht="19" thickBot="1"/>
    <row r="73" spans="2:12" ht="19" thickBot="1">
      <c r="B73" s="29" t="s">
        <v>300</v>
      </c>
      <c r="C73" s="30" t="s">
        <v>76</v>
      </c>
    </row>
    <row r="74" spans="2:12" ht="4" customHeight="1">
      <c r="C74" s="26"/>
    </row>
    <row r="75" spans="2:12" ht="28" customHeight="1">
      <c r="B75" s="1" t="s">
        <v>309</v>
      </c>
      <c r="C75" s="1" t="s">
        <v>314</v>
      </c>
      <c r="D75" s="1" t="s">
        <v>301</v>
      </c>
      <c r="E75" s="1" t="s">
        <v>302</v>
      </c>
      <c r="F75" s="1" t="s">
        <v>305</v>
      </c>
      <c r="H75" s="1" t="s">
        <v>310</v>
      </c>
      <c r="I75" s="1" t="s">
        <v>314</v>
      </c>
      <c r="J75" s="1" t="s">
        <v>301</v>
      </c>
      <c r="K75" s="1" t="s">
        <v>302</v>
      </c>
      <c r="L75" s="1" t="s">
        <v>305</v>
      </c>
    </row>
    <row r="76" spans="2:12" ht="6" customHeight="1">
      <c r="B76" s="28"/>
      <c r="C76" s="28"/>
      <c r="D76" s="28"/>
      <c r="E76" s="28"/>
      <c r="F76" s="28"/>
      <c r="H76" s="28"/>
      <c r="I76" s="28"/>
      <c r="J76" s="28"/>
      <c r="K76" s="28"/>
      <c r="L76" s="28"/>
    </row>
    <row r="77" spans="2:12">
      <c r="B77" s="1" t="str" cm="1">
        <f t="array" ref="B77:B78">_xlfn.UNIQUE(_xlfn._xlws.FILTER(RAW!G:G, (RAW!E:E=C73)*(RAW!N:N&gt;0)*(RAW!I:I="타이어"), ""))</f>
        <v>백호중기</v>
      </c>
      <c r="C77" s="3">
        <f>IFERROR((SUMIFS(RAW!N:N,RAW!G:G,입금현황!B77, RAW!E:E,입금현황!$C$73, RAW!I:I, "타이어")*1.1),"")</f>
        <v>2940300.0000000009</v>
      </c>
      <c r="D77" s="1" t="s">
        <v>303</v>
      </c>
      <c r="E77" s="27">
        <v>45979</v>
      </c>
      <c r="F77" s="1" t="s">
        <v>306</v>
      </c>
      <c r="H77" s="1" t="str" cm="1">
        <f t="array" ref="H77:H78">_xlfn.UNIQUE(_xlfn._xlws.FILTER(RAW!G:G, (RAW!E:E=C73)*(RAW!N:N&gt;0)*(RAW!I:I&lt;&gt;"타이어"), ""))</f>
        <v>에코파밍 주식회사</v>
      </c>
      <c r="I77" s="3">
        <f>((SUMIFS(RAW!N:N,RAW!E:E,입금현황!$C$73,RAW!G:G,입금현황!H77))-(SUMIFS(RAW!N:N,RAW!E:E,입금현황!$C$73,RAW!I:I,"타이어",RAW!G:G,입금현황!H77)))*1.1</f>
        <v>762300.00000000012</v>
      </c>
      <c r="J77" s="1" t="s">
        <v>303</v>
      </c>
      <c r="K77" s="27"/>
    </row>
    <row r="78" spans="2:12">
      <c r="B78" s="1" t="str">
        <v>현대지게차경기북부판매(주)</v>
      </c>
      <c r="C78" s="3">
        <f>IFERROR((SUMIFS(RAW!N:N,RAW!G:G,입금현황!B78, RAW!E:E,입금현황!$C$73, RAW!I:I, "타이어")*1.1),"")</f>
        <v>677600</v>
      </c>
      <c r="D78" s="1" t="s">
        <v>303</v>
      </c>
      <c r="E78" s="27">
        <v>45986</v>
      </c>
      <c r="F78" s="1" t="s">
        <v>306</v>
      </c>
      <c r="H78" s="1" t="str">
        <v>주식회사 에스제이</v>
      </c>
      <c r="I78" s="3">
        <f>((SUMIFS(RAW!N:N,RAW!E:E,입금현황!$C$73,RAW!G:G,입금현황!H78))-(SUMIFS(RAW!N:N,RAW!E:E,입금현황!$C$73,RAW!I:I,"타이어",RAW!G:G,입금현황!H78)))*1.1</f>
        <v>4416500</v>
      </c>
      <c r="J78" s="1" t="s">
        <v>303</v>
      </c>
      <c r="K78" s="27"/>
    </row>
    <row r="79" spans="2:12" ht="19" thickBot="1"/>
    <row r="80" spans="2:12" ht="19" thickBot="1">
      <c r="B80" s="29" t="s">
        <v>300</v>
      </c>
      <c r="C80" s="30" t="s">
        <v>77</v>
      </c>
    </row>
    <row r="81" spans="2:12" ht="2" customHeight="1">
      <c r="C81" s="26"/>
    </row>
    <row r="82" spans="2:12" ht="28" customHeight="1">
      <c r="B82" s="1" t="s">
        <v>309</v>
      </c>
      <c r="C82" s="1" t="s">
        <v>314</v>
      </c>
      <c r="D82" s="1" t="s">
        <v>301</v>
      </c>
      <c r="E82" s="1" t="s">
        <v>302</v>
      </c>
      <c r="F82" s="1" t="s">
        <v>305</v>
      </c>
      <c r="H82" s="1" t="s">
        <v>310</v>
      </c>
      <c r="I82" s="1" t="s">
        <v>314</v>
      </c>
      <c r="J82" s="1" t="s">
        <v>301</v>
      </c>
      <c r="K82" s="1" t="s">
        <v>302</v>
      </c>
      <c r="L82" s="1" t="s">
        <v>305</v>
      </c>
    </row>
    <row r="83" spans="2:12" ht="6" customHeight="1">
      <c r="B83" s="28"/>
      <c r="C83" s="28"/>
      <c r="D83" s="28"/>
      <c r="E83" s="28"/>
      <c r="F83" s="28"/>
      <c r="H83" s="28"/>
      <c r="I83" s="28"/>
      <c r="J83" s="28"/>
      <c r="K83" s="28"/>
      <c r="L83" s="28"/>
    </row>
    <row r="84" spans="2:12">
      <c r="B84" s="1" t="str" cm="1">
        <f t="array" ref="B84:B87">_xlfn.UNIQUE(_xlfn._xlws.FILTER(RAW!G:G, (RAW!E:E=C80)*(RAW!N:N&gt;0)*(RAW!I:I="타이어"), ""))</f>
        <v>백호중기</v>
      </c>
      <c r="C84" s="3">
        <f>IFERROR((SUMIFS(RAW!N:N,RAW!G:G,입금현황!B84, RAW!E:E,입금현황!$C$80, RAW!I:I, "타이어")*1.1),"")</f>
        <v>2492600.0000000009</v>
      </c>
      <c r="D84" s="1" t="s">
        <v>304</v>
      </c>
      <c r="E84" s="27">
        <v>46002</v>
      </c>
      <c r="F84" s="1" t="s">
        <v>307</v>
      </c>
      <c r="H84" s="1" t="str" cm="1">
        <f t="array" ref="H84:H87">_xlfn.UNIQUE(_xlfn._xlws.FILTER(RAW!G:G, (RAW!E:E=C80)*(RAW!N:N&gt;0)*(RAW!I:I&lt;&gt;"타이어"), ""))</f>
        <v>에코파밍 주식회사</v>
      </c>
      <c r="I84" s="3">
        <f>((SUMIFS(RAW!N:N,RAW!E:E,입금현황!$C$80,RAW!G:G,입금현황!H84))-(SUMIFS(RAW!N:N,RAW!E:E,입금현황!$C$80,RAW!I:I,"타이어",RAW!G:G,입금현황!H84)))*1.1</f>
        <v>762300.00000000012</v>
      </c>
      <c r="J84" s="1" t="s">
        <v>304</v>
      </c>
      <c r="K84" s="27">
        <v>45964</v>
      </c>
      <c r="L84" s="1" t="s">
        <v>307</v>
      </c>
    </row>
    <row r="85" spans="2:12">
      <c r="B85" s="1" t="str">
        <v>현대지게차경기북부판매(주)</v>
      </c>
      <c r="C85" s="3">
        <f>IFERROR((SUMIFS(RAW!N:N,RAW!G:G,입금현황!B85, RAW!E:E,입금현황!$C$80, RAW!I:I, "타이어")*1.1),"")</f>
        <v>813120.00000000023</v>
      </c>
      <c r="D85" s="1" t="s">
        <v>308</v>
      </c>
      <c r="E85" s="27"/>
      <c r="H85" s="1" t="str">
        <v>주식회사 에스제이</v>
      </c>
      <c r="I85" s="3">
        <f>((SUMIFS(RAW!N:N,RAW!E:E,입금현황!$C$80,RAW!G:G,입금현황!H85))-(SUMIFS(RAW!N:N,RAW!E:E,입금현황!$C$80,RAW!I:I,"타이어",RAW!G:G,입금현황!H85)))*1.1</f>
        <v>5626500</v>
      </c>
      <c r="J85" s="1" t="s">
        <v>303</v>
      </c>
      <c r="K85" s="27">
        <v>45989</v>
      </c>
      <c r="L85" s="1" t="s">
        <v>306</v>
      </c>
    </row>
    <row r="86" spans="2:12">
      <c r="B86" s="1" t="str">
        <v>대양토탈라인 주식회사</v>
      </c>
      <c r="C86" s="3">
        <f>IFERROR((SUMIFS(RAW!N:N,RAW!G:G,입금현황!B86, RAW!E:E,입금현황!$C$80, RAW!I:I, "타이어")*1.1),"")</f>
        <v>11918500.000000002</v>
      </c>
      <c r="D86" s="1" t="s">
        <v>308</v>
      </c>
      <c r="E86" s="27"/>
      <c r="H86" s="1" t="str">
        <v>동성종합지게차</v>
      </c>
      <c r="I86" s="3">
        <f>((SUMIFS(RAW!N:N,RAW!E:E,입금현황!$C$80,RAW!G:G,입금현황!H86))-(SUMIFS(RAW!N:N,RAW!E:E,입금현황!$C$80,RAW!I:I,"타이어",RAW!G:G,입금현황!H86)))*1.1</f>
        <v>30407300.000000007</v>
      </c>
      <c r="J86" s="1" t="s">
        <v>303</v>
      </c>
      <c r="K86" s="27">
        <v>45992</v>
      </c>
      <c r="L86" s="1" t="s">
        <v>306</v>
      </c>
    </row>
    <row r="87" spans="2:12">
      <c r="B87" s="1" t="str">
        <v>대명특장</v>
      </c>
      <c r="C87" s="3">
        <f>IFERROR((SUMIFS(RAW!N:N,RAW!G:G,입금현황!B87, RAW!E:E,입금현황!$C$80, RAW!I:I, "타이어")*1.1),"")</f>
        <v>1730300.0000000005</v>
      </c>
      <c r="D87" s="1" t="s">
        <v>303</v>
      </c>
      <c r="E87" s="27">
        <v>45982</v>
      </c>
      <c r="F87" s="1" t="s">
        <v>306</v>
      </c>
      <c r="H87" s="1" t="str">
        <v>현대지게차경기북부판매(주)</v>
      </c>
      <c r="I87" s="3">
        <f>((SUMIFS(RAW!N:N,RAW!E:E,입금현황!$C$80,RAW!G:G,입금현황!H87))-(SUMIFS(RAW!N:N,RAW!E:E,입금현황!$C$80,RAW!I:I,"타이어",RAW!G:G,입금현황!H87)))*1.1</f>
        <v>4840000</v>
      </c>
      <c r="J87" s="1" t="s">
        <v>303</v>
      </c>
      <c r="K87" s="27">
        <v>45996</v>
      </c>
      <c r="L87" s="1" t="s">
        <v>306</v>
      </c>
    </row>
    <row r="88" spans="2:12" ht="19" thickBot="1">
      <c r="C88" s="3"/>
      <c r="E88" s="27"/>
      <c r="I88" s="3"/>
      <c r="K88" s="27"/>
    </row>
    <row r="89" spans="2:12" ht="19" thickBot="1">
      <c r="B89" s="29" t="s">
        <v>300</v>
      </c>
      <c r="C89" s="30" t="s">
        <v>78</v>
      </c>
    </row>
    <row r="90" spans="2:12" ht="2" customHeight="1">
      <c r="C90" s="26"/>
    </row>
    <row r="91" spans="2:12" ht="28" customHeight="1">
      <c r="B91" s="1" t="s">
        <v>309</v>
      </c>
      <c r="C91" s="1" t="s">
        <v>314</v>
      </c>
      <c r="D91" s="1" t="s">
        <v>301</v>
      </c>
      <c r="E91" s="1" t="s">
        <v>302</v>
      </c>
      <c r="F91" s="1" t="s">
        <v>305</v>
      </c>
      <c r="H91" s="1" t="s">
        <v>310</v>
      </c>
      <c r="I91" s="1" t="s">
        <v>314</v>
      </c>
      <c r="J91" s="1" t="s">
        <v>301</v>
      </c>
      <c r="K91" s="1" t="s">
        <v>302</v>
      </c>
      <c r="L91" s="1" t="s">
        <v>305</v>
      </c>
    </row>
    <row r="92" spans="2:12" ht="6" customHeight="1">
      <c r="B92" s="28"/>
      <c r="C92" s="28"/>
      <c r="D92" s="28"/>
      <c r="E92" s="28"/>
      <c r="F92" s="28"/>
      <c r="H92" s="28"/>
      <c r="I92" s="28"/>
      <c r="J92" s="28"/>
      <c r="K92" s="28"/>
      <c r="L92" s="28"/>
    </row>
    <row r="93" spans="2:12">
      <c r="B93" s="1" t="str" cm="1">
        <f t="array" ref="B93:B98">_xlfn.UNIQUE(_xlfn._xlws.FILTER(RAW!G:G, (RAW!E:E=C89)*(RAW!N:N&gt;0)*(RAW!I:I="타이어"), ""))</f>
        <v>혁신상사 주식회사</v>
      </c>
      <c r="C93" s="3">
        <f>IFERROR((SUMIFS(RAW!N:N,RAW!G:G,입금현황!B93, RAW!E:E,입금현황!$C$89, RAW!I:I, "타이어")*1.1),"")</f>
        <v>1754500.0000000005</v>
      </c>
      <c r="D93" s="1" t="s">
        <v>308</v>
      </c>
      <c r="E93" s="27"/>
      <c r="H93" s="1" t="str" cm="1">
        <f t="array" ref="H93:H94">_xlfn.UNIQUE(_xlfn._xlws.FILTER(RAW!G:G, (RAW!E:E=C89)*(RAW!N:N&gt;0)*(RAW!I:I&lt;&gt;"타이어"), ""))</f>
        <v>에코파밍 주식회사</v>
      </c>
      <c r="I93" s="3">
        <f>((SUMIFS(RAW!N:N,RAW!E:E,입금현황!$C$89,RAW!G:G,입금현황!H93))-(SUMIFS(RAW!N:N,RAW!E:E,입금현황!$C$89,RAW!I:I,"타이어",RAW!G:G,입금현황!H93)))*1.1</f>
        <v>762300.00000000012</v>
      </c>
      <c r="J93" s="1" t="s">
        <v>304</v>
      </c>
      <c r="K93" s="27">
        <v>45994</v>
      </c>
      <c r="L93" s="1" t="s">
        <v>307</v>
      </c>
    </row>
    <row r="94" spans="2:12">
      <c r="B94" s="1" t="str">
        <v>두산지게차순천판매주식회사</v>
      </c>
      <c r="C94" s="3">
        <f>IFERROR((SUMIFS(RAW!N:N,RAW!G:G,입금현황!B94, RAW!E:E,입금현황!$C$89, RAW!I:I, "타이어")*1.1),"")</f>
        <v>329120</v>
      </c>
      <c r="D94" s="1" t="s">
        <v>308</v>
      </c>
      <c r="E94" s="27"/>
      <c r="H94" s="1" t="str">
        <v>주식회사 에스제이</v>
      </c>
      <c r="I94" s="3">
        <f>((SUMIFS(RAW!N:N,RAW!E:E,입금현황!$C$89,RAW!G:G,입금현황!H94))-(SUMIFS(RAW!N:N,RAW!E:E,입금현황!$C$89,RAW!I:I,"타이어",RAW!G:G,입금현황!H94)))*1.1</f>
        <v>4416500</v>
      </c>
      <c r="J94" s="1" t="s">
        <v>308</v>
      </c>
      <c r="K94" s="27"/>
    </row>
    <row r="95" spans="2:12">
      <c r="B95" s="1" t="str">
        <v>주식회사 비엠삼우</v>
      </c>
      <c r="C95" s="3">
        <f>IFERROR((SUMIFS(RAW!N:N,RAW!G:G,입금현황!B95, RAW!E:E,입금현황!$C$89, RAW!I:I, "타이어")*1.1),"")</f>
        <v>508200.00000000012</v>
      </c>
      <c r="D95" s="1" t="s">
        <v>303</v>
      </c>
      <c r="E95" s="27">
        <v>46001</v>
      </c>
      <c r="F95" s="1" t="s">
        <v>321</v>
      </c>
      <c r="I95" s="3"/>
      <c r="K95" s="27"/>
    </row>
    <row r="96" spans="2:12">
      <c r="B96" s="1" t="str">
        <v>현대지게차경기북부판매(주)</v>
      </c>
      <c r="C96" s="3">
        <f>IFERROR((SUMIFS(RAW!N:N,RAW!G:G,입금현황!B96, RAW!E:E,입금현황!$C$89, RAW!I:I, "타이어")*1.1),"")</f>
        <v>3496900.0000000009</v>
      </c>
      <c r="D96" s="1" t="s">
        <v>308</v>
      </c>
      <c r="E96" s="27"/>
      <c r="I96" s="3"/>
      <c r="K96" s="27"/>
    </row>
    <row r="97" spans="2:9">
      <c r="B97" s="1" t="str">
        <v>티엘에스코리아 주식회사</v>
      </c>
      <c r="C97" s="3">
        <f>IFERROR((SUMIFS(RAW!N:N,RAW!G:G,입금현황!B97, RAW!E:E,입금현황!$C$89, RAW!I:I, "타이어")*1.1),"")</f>
        <v>1597200.0000000002</v>
      </c>
      <c r="D97" s="1" t="s">
        <v>303</v>
      </c>
      <c r="E97" s="27">
        <v>46007</v>
      </c>
      <c r="F97" s="1" t="s">
        <v>321</v>
      </c>
      <c r="I97" s="3"/>
    </row>
    <row r="98" spans="2:9">
      <c r="B98" s="1" t="str">
        <v>백호중기</v>
      </c>
      <c r="C98" s="3">
        <f>IFERROR((SUMIFS(RAW!N:N,RAW!G:G,입금현황!B98, RAW!E:E,입금현황!$C$89, RAW!I:I, "타이어")*1.1),"")</f>
        <v>7998100.0000000009</v>
      </c>
      <c r="D98" s="1" t="s">
        <v>311</v>
      </c>
      <c r="I98" s="3"/>
    </row>
    <row r="99" spans="2:9">
      <c r="C99" s="3">
        <f>IFERROR((SUMIFS(RAW!N:N,RAW!G:G,입금현황!B99, RAW!E:E,입금현황!$C$89, RAW!I:I, "타이어")*1.1),"")</f>
        <v>0</v>
      </c>
      <c r="I99" s="3"/>
    </row>
  </sheetData>
  <phoneticPr fontId="2" type="noConversion"/>
  <conditionalFormatting sqref="D1:D1048576 J1:J1048576">
    <cfRule type="cellIs" dxfId="0" priority="1" operator="equal">
      <formula>"Y"</formula>
    </cfRule>
  </conditionalFormatting>
  <dataValidations count="2">
    <dataValidation type="list" allowBlank="1" showInputMessage="1" showErrorMessage="1" sqref="J84:J88 D77:D78 J77:J78 D84:D88 D93:D97 J93:J96 D68:D71 J68:J71 D61:D62 J61:J62 D53:D55 J53:J55 J32:J37 D25:D26 J25:J26 D32:D37 D42:D46 J42:J45 D18:D19 J18:J19 D12 J12 D6 J6" xr:uid="{51B61B3B-5705-5346-9401-18B251F0B783}">
      <formula1>"Y, N"</formula1>
    </dataValidation>
    <dataValidation type="list" allowBlank="1" showInputMessage="1" showErrorMessage="1" sqref="L84:L88 F77:F78 L77:L78 F84:F88 F93:F97 L93:L96 F68:F71 L68:L71 F61:F62 L61:L62 F53:F55 L53:L55 L32:L37 F25:F26 L25:L26 F32:F37 F42:F46 L42:L45 F18:F19 L18:L19 F12 L12 F6 L6" xr:uid="{CF102FDD-5A9A-4940-995E-CA418EA94FDC}">
      <formula1>"KB, IBK"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C3B3-F9E5-1E40-B368-2E4E9926E8E9}">
  <dimension ref="C2:E8"/>
  <sheetViews>
    <sheetView workbookViewId="0">
      <selection activeCell="E4" sqref="E4"/>
    </sheetView>
  </sheetViews>
  <sheetFormatPr baseColWidth="10" defaultColWidth="10.85546875" defaultRowHeight="18"/>
  <sheetData>
    <row r="2" spans="3:5">
      <c r="D2" t="s">
        <v>298</v>
      </c>
      <c r="E2" t="s">
        <v>78</v>
      </c>
    </row>
    <row r="4" spans="3:5">
      <c r="C4" t="s">
        <v>317</v>
      </c>
      <c r="E4">
        <f>SUMIFS(RAW!N:N, RAW!G:G, $D$2, RAW!E:E, E2)</f>
        <v>1595000.0000000002</v>
      </c>
    </row>
    <row r="6" spans="3:5">
      <c r="C6" t="s">
        <v>318</v>
      </c>
    </row>
    <row r="7" spans="3:5">
      <c r="C7" t="s">
        <v>319</v>
      </c>
    </row>
    <row r="8" spans="3:5">
      <c r="C8" t="s">
        <v>320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81EE-7D81-C743-A2D5-F6FAAB3DD984}">
  <dimension ref="A2:T32"/>
  <sheetViews>
    <sheetView topLeftCell="A14" workbookViewId="0">
      <selection activeCell="C24" sqref="C24"/>
    </sheetView>
  </sheetViews>
  <sheetFormatPr baseColWidth="10" defaultColWidth="10.85546875" defaultRowHeight="18"/>
  <cols>
    <col min="7" max="7" width="28.28515625" bestFit="1" customWidth="1"/>
    <col min="8" max="8" width="13.28515625" bestFit="1" customWidth="1"/>
    <col min="9" max="9" width="6.85546875" bestFit="1" customWidth="1"/>
    <col min="10" max="10" width="13" bestFit="1" customWidth="1"/>
    <col min="11" max="11" width="54.28515625" bestFit="1" customWidth="1"/>
  </cols>
  <sheetData>
    <row r="2" spans="1:20">
      <c r="A2" t="str" cm="1">
        <f t="array" ref="A2:A22">_xlfn.UNIQUE(_xlfn._xlws.FILTER(RAW!G3:G999, RAW!G3:G999&lt;&gt;""))</f>
        <v>고객명</v>
      </c>
    </row>
    <row r="3" spans="1:20">
      <c r="A3" t="str">
        <v>주식회사 에스제이</v>
      </c>
      <c r="G3" s="25" t="s">
        <v>134</v>
      </c>
      <c r="H3" s="25" t="s">
        <v>135</v>
      </c>
      <c r="I3" s="25" t="s">
        <v>136</v>
      </c>
      <c r="J3" s="25" t="s">
        <v>137</v>
      </c>
      <c r="K3" s="25" t="s">
        <v>138</v>
      </c>
      <c r="L3" s="25"/>
      <c r="M3" s="23"/>
      <c r="N3" s="23"/>
      <c r="O3" s="23"/>
      <c r="P3" s="23"/>
      <c r="Q3" s="23"/>
      <c r="R3" s="23"/>
      <c r="S3" s="23" t="s">
        <v>139</v>
      </c>
    </row>
    <row r="4" spans="1:20">
      <c r="A4" t="str">
        <v>코오롱글로벌(주)상사부문</v>
      </c>
      <c r="G4" t="s">
        <v>140</v>
      </c>
      <c r="H4" t="s">
        <v>141</v>
      </c>
      <c r="J4" t="s">
        <v>142</v>
      </c>
      <c r="K4" t="s">
        <v>143</v>
      </c>
      <c r="L4" t="s">
        <v>144</v>
      </c>
      <c r="M4" s="24"/>
      <c r="N4" s="24"/>
      <c r="O4" s="24"/>
      <c r="P4" s="24"/>
      <c r="Q4" s="24"/>
      <c r="R4" s="24"/>
      <c r="S4" s="24"/>
      <c r="T4" s="24" t="s">
        <v>145</v>
      </c>
    </row>
    <row r="5" spans="1:20">
      <c r="A5" t="str">
        <v>도화중기주식회사</v>
      </c>
      <c r="G5" t="s">
        <v>146</v>
      </c>
      <c r="H5" t="s">
        <v>147</v>
      </c>
      <c r="J5" t="s">
        <v>148</v>
      </c>
      <c r="K5" t="s">
        <v>149</v>
      </c>
      <c r="L5" t="s">
        <v>150</v>
      </c>
      <c r="M5" s="24"/>
      <c r="N5" s="24"/>
      <c r="O5" s="24"/>
      <c r="P5" s="24"/>
      <c r="Q5" s="24"/>
      <c r="R5" s="24"/>
      <c r="S5" s="24"/>
      <c r="T5" s="24" t="s">
        <v>151</v>
      </c>
    </row>
    <row r="6" spans="1:20">
      <c r="A6" t="str">
        <v>에코파밍 주식회사</v>
      </c>
      <c r="G6" t="s">
        <v>152</v>
      </c>
      <c r="H6" t="s">
        <v>153</v>
      </c>
      <c r="J6" t="s">
        <v>154</v>
      </c>
      <c r="K6" t="s">
        <v>155</v>
      </c>
      <c r="L6" t="s">
        <v>156</v>
      </c>
      <c r="M6" s="24"/>
      <c r="N6" s="24"/>
      <c r="O6" s="24"/>
      <c r="P6" s="24"/>
      <c r="Q6" s="24"/>
      <c r="R6" s="24"/>
      <c r="S6" s="24"/>
      <c r="T6" s="24" t="s">
        <v>157</v>
      </c>
    </row>
    <row r="7" spans="1:20">
      <c r="A7" t="str">
        <v>상주대형중기화물</v>
      </c>
      <c r="G7" t="s">
        <v>158</v>
      </c>
      <c r="H7" t="s">
        <v>159</v>
      </c>
      <c r="J7" t="s">
        <v>160</v>
      </c>
      <c r="K7" t="s">
        <v>161</v>
      </c>
      <c r="L7" t="s">
        <v>162</v>
      </c>
      <c r="M7" s="24"/>
      <c r="N7" s="24"/>
      <c r="O7" s="24"/>
      <c r="P7" s="24"/>
      <c r="Q7" s="24"/>
      <c r="R7" s="24"/>
      <c r="S7" s="24"/>
      <c r="T7" s="24" t="s">
        <v>163</v>
      </c>
    </row>
    <row r="8" spans="1:20">
      <c r="A8" t="str">
        <v>동성종합지게차</v>
      </c>
      <c r="G8" t="s">
        <v>164</v>
      </c>
      <c r="H8" t="s">
        <v>165</v>
      </c>
      <c r="J8" t="s">
        <v>166</v>
      </c>
      <c r="K8" t="s">
        <v>167</v>
      </c>
      <c r="L8" t="s">
        <v>162</v>
      </c>
      <c r="M8" s="24"/>
      <c r="N8" s="24"/>
      <c r="O8" s="24"/>
      <c r="P8" s="24"/>
      <c r="Q8" s="24"/>
      <c r="R8" s="24"/>
      <c r="S8" s="24"/>
      <c r="T8" s="24" t="s">
        <v>168</v>
      </c>
    </row>
    <row r="9" spans="1:20">
      <c r="A9" t="str">
        <v>현대지게차경기북부판매(주)</v>
      </c>
      <c r="G9" t="s">
        <v>169</v>
      </c>
      <c r="H9" t="s">
        <v>170</v>
      </c>
      <c r="J9" t="s">
        <v>171</v>
      </c>
      <c r="K9" t="s">
        <v>172</v>
      </c>
      <c r="L9" t="s">
        <v>173</v>
      </c>
      <c r="M9" s="24"/>
      <c r="N9" s="24"/>
      <c r="O9" s="24"/>
      <c r="P9" s="24"/>
      <c r="Q9" s="24"/>
      <c r="R9" s="24"/>
      <c r="S9" s="24"/>
      <c r="T9" s="24" t="s">
        <v>174</v>
      </c>
    </row>
    <row r="10" spans="1:20">
      <c r="A10" t="str">
        <v>(주)디피엘</v>
      </c>
      <c r="G10" t="s">
        <v>175</v>
      </c>
      <c r="H10" t="s">
        <v>176</v>
      </c>
      <c r="J10" t="s">
        <v>177</v>
      </c>
      <c r="K10" t="s">
        <v>178</v>
      </c>
      <c r="L10" t="s">
        <v>179</v>
      </c>
      <c r="M10" s="24"/>
      <c r="N10" s="24"/>
      <c r="O10" s="24"/>
      <c r="P10" s="24"/>
      <c r="Q10" s="24"/>
      <c r="R10" s="24"/>
      <c r="S10" s="24"/>
      <c r="T10" s="24" t="s">
        <v>180</v>
      </c>
    </row>
    <row r="11" spans="1:20">
      <c r="A11" t="str">
        <v>주식회사 현대지게차</v>
      </c>
      <c r="G11" t="s">
        <v>181</v>
      </c>
      <c r="H11" t="s">
        <v>182</v>
      </c>
      <c r="J11" t="s">
        <v>183</v>
      </c>
      <c r="K11" t="s">
        <v>184</v>
      </c>
      <c r="L11" t="s">
        <v>185</v>
      </c>
      <c r="M11" s="24"/>
      <c r="N11" s="24"/>
      <c r="O11" s="24"/>
      <c r="P11" s="24"/>
      <c r="Q11" s="24"/>
      <c r="R11" s="24"/>
      <c r="S11" s="24"/>
      <c r="T11" s="24" t="s">
        <v>186</v>
      </c>
    </row>
    <row r="12" spans="1:20">
      <c r="A12" t="str">
        <v>선호지게차</v>
      </c>
      <c r="G12" t="s">
        <v>187</v>
      </c>
      <c r="H12" t="s">
        <v>188</v>
      </c>
      <c r="J12" t="s">
        <v>189</v>
      </c>
      <c r="K12" t="s">
        <v>190</v>
      </c>
      <c r="L12" t="s">
        <v>191</v>
      </c>
      <c r="M12" s="24"/>
      <c r="N12" s="24"/>
      <c r="O12" s="24"/>
      <c r="P12" s="24"/>
      <c r="Q12" s="24"/>
      <c r="R12" s="24"/>
      <c r="S12" s="24"/>
      <c r="T12" s="24" t="s">
        <v>192</v>
      </c>
    </row>
    <row r="13" spans="1:20">
      <c r="A13" t="str">
        <v>주식회사 크린어스</v>
      </c>
      <c r="G13" t="s">
        <v>193</v>
      </c>
      <c r="H13" t="s">
        <v>194</v>
      </c>
      <c r="J13" t="s">
        <v>195</v>
      </c>
      <c r="K13" t="s">
        <v>196</v>
      </c>
      <c r="L13" t="s">
        <v>197</v>
      </c>
      <c r="M13" s="24"/>
      <c r="N13" s="24"/>
      <c r="O13" s="24"/>
      <c r="P13" s="24"/>
      <c r="Q13" s="24"/>
      <c r="R13" s="24"/>
      <c r="S13" s="24"/>
      <c r="T13" s="24" t="s">
        <v>198</v>
      </c>
    </row>
    <row r="14" spans="1:20">
      <c r="A14" t="str">
        <v>백호중기</v>
      </c>
      <c r="G14" t="s">
        <v>132</v>
      </c>
      <c r="H14" t="s">
        <v>199</v>
      </c>
      <c r="J14" t="s">
        <v>200</v>
      </c>
      <c r="K14" t="s">
        <v>201</v>
      </c>
      <c r="L14" t="s">
        <v>162</v>
      </c>
      <c r="M14" s="24"/>
      <c r="N14" s="24"/>
      <c r="O14" s="24"/>
      <c r="P14" s="24"/>
      <c r="Q14" s="24"/>
      <c r="R14" s="24"/>
      <c r="S14" s="24"/>
      <c r="T14" s="24" t="s">
        <v>202</v>
      </c>
    </row>
    <row r="15" spans="1:20">
      <c r="A15" t="str">
        <v>농업회사법인 주식회사 이엔푸드</v>
      </c>
      <c r="G15" t="s">
        <v>203</v>
      </c>
      <c r="H15" t="s">
        <v>204</v>
      </c>
      <c r="J15" t="s">
        <v>205</v>
      </c>
      <c r="K15" t="s">
        <v>206</v>
      </c>
      <c r="L15" t="s">
        <v>207</v>
      </c>
      <c r="M15" s="24"/>
      <c r="N15" s="24"/>
      <c r="O15" s="24"/>
      <c r="P15" s="24"/>
      <c r="Q15" s="24"/>
      <c r="R15" s="24"/>
      <c r="S15" s="24"/>
      <c r="T15" s="24" t="s">
        <v>208</v>
      </c>
    </row>
    <row r="16" spans="1:20">
      <c r="A16" t="str">
        <v>두산지게차순천판매주식회사</v>
      </c>
      <c r="G16" t="s">
        <v>203</v>
      </c>
      <c r="H16" t="s">
        <v>209</v>
      </c>
      <c r="J16" t="s">
        <v>210</v>
      </c>
      <c r="K16" t="s">
        <v>211</v>
      </c>
      <c r="L16" t="s">
        <v>212</v>
      </c>
      <c r="M16" s="24"/>
      <c r="N16" s="24"/>
      <c r="O16" s="24"/>
      <c r="P16" s="24"/>
      <c r="Q16" s="24"/>
      <c r="R16" s="24"/>
      <c r="S16" s="24"/>
      <c r="T16" s="24" t="s">
        <v>213</v>
      </c>
    </row>
    <row r="17" spans="1:20">
      <c r="A17" t="str">
        <v>대양토탈라인 주식회사</v>
      </c>
      <c r="G17" t="s">
        <v>214</v>
      </c>
      <c r="H17" t="s">
        <v>215</v>
      </c>
      <c r="J17" t="s">
        <v>216</v>
      </c>
      <c r="K17" t="s">
        <v>217</v>
      </c>
      <c r="L17" t="s">
        <v>179</v>
      </c>
      <c r="M17" s="24"/>
      <c r="N17" s="24"/>
      <c r="O17" s="24"/>
      <c r="P17" s="24"/>
      <c r="Q17" s="24"/>
      <c r="R17" s="24"/>
      <c r="S17" s="24"/>
      <c r="T17" s="24" t="s">
        <v>218</v>
      </c>
    </row>
    <row r="18" spans="1:20">
      <c r="A18" t="str">
        <v>대명특장</v>
      </c>
      <c r="G18" t="s">
        <v>219</v>
      </c>
      <c r="H18" t="s">
        <v>220</v>
      </c>
      <c r="J18" t="s">
        <v>221</v>
      </c>
      <c r="K18" t="s">
        <v>222</v>
      </c>
      <c r="L18" t="s">
        <v>179</v>
      </c>
      <c r="M18" s="24"/>
      <c r="N18" s="24"/>
      <c r="O18" s="24"/>
      <c r="P18" s="24"/>
      <c r="Q18" s="24"/>
      <c r="R18" s="24"/>
      <c r="S18" s="24"/>
      <c r="T18" s="24" t="s">
        <v>223</v>
      </c>
    </row>
    <row r="19" spans="1:20">
      <c r="A19" t="str">
        <v>혁신상사 주식회사</v>
      </c>
      <c r="G19" t="s">
        <v>224</v>
      </c>
      <c r="H19" t="s">
        <v>225</v>
      </c>
      <c r="J19" t="s">
        <v>226</v>
      </c>
      <c r="K19" t="s">
        <v>227</v>
      </c>
      <c r="L19" t="s">
        <v>228</v>
      </c>
      <c r="M19" s="24"/>
      <c r="N19" s="24"/>
      <c r="O19" s="24"/>
      <c r="P19" s="24"/>
      <c r="Q19" s="24"/>
      <c r="R19" s="24"/>
      <c r="S19" s="24"/>
      <c r="T19" s="24" t="s">
        <v>229</v>
      </c>
    </row>
    <row r="20" spans="1:20">
      <c r="A20" t="str">
        <v>주식회사 비엠삼우</v>
      </c>
      <c r="G20" t="s">
        <v>230</v>
      </c>
      <c r="H20" t="s">
        <v>231</v>
      </c>
      <c r="J20" t="s">
        <v>232</v>
      </c>
      <c r="K20" t="s">
        <v>233</v>
      </c>
      <c r="L20" t="s">
        <v>162</v>
      </c>
      <c r="M20" s="24"/>
      <c r="N20" s="24"/>
      <c r="O20" s="24"/>
      <c r="P20" s="24"/>
      <c r="Q20" s="24"/>
      <c r="R20" s="24"/>
      <c r="S20" s="24"/>
      <c r="T20" s="24" t="s">
        <v>234</v>
      </c>
    </row>
    <row r="21" spans="1:20">
      <c r="A21" t="str">
        <v>티엘에스코리아 주식회사</v>
      </c>
      <c r="G21" t="s">
        <v>235</v>
      </c>
      <c r="H21" t="s">
        <v>236</v>
      </c>
      <c r="J21" t="s">
        <v>237</v>
      </c>
      <c r="K21" t="s">
        <v>238</v>
      </c>
      <c r="L21" t="s">
        <v>239</v>
      </c>
      <c r="M21" s="24"/>
      <c r="N21" s="24"/>
      <c r="O21" s="24"/>
      <c r="P21" s="24"/>
      <c r="Q21" s="24"/>
      <c r="R21" s="24"/>
      <c r="S21" s="24"/>
      <c r="T21" s="24" t="s">
        <v>240</v>
      </c>
    </row>
    <row r="22" spans="1:20">
      <c r="A22" t="str">
        <v>(주)에이치씨물류</v>
      </c>
      <c r="G22" t="s">
        <v>241</v>
      </c>
      <c r="H22" t="s">
        <v>242</v>
      </c>
      <c r="J22" t="s">
        <v>243</v>
      </c>
      <c r="K22" t="s">
        <v>244</v>
      </c>
      <c r="L22" t="s">
        <v>228</v>
      </c>
      <c r="M22" s="24"/>
      <c r="N22" s="24"/>
      <c r="O22" s="24"/>
      <c r="P22" s="24"/>
      <c r="Q22" s="24"/>
      <c r="R22" s="24"/>
      <c r="S22" s="24"/>
      <c r="T22" s="24" t="s">
        <v>245</v>
      </c>
    </row>
    <row r="23" spans="1:20">
      <c r="G23" t="s">
        <v>246</v>
      </c>
      <c r="H23" t="s">
        <v>247</v>
      </c>
      <c r="J23" t="s">
        <v>248</v>
      </c>
      <c r="K23" t="s">
        <v>249</v>
      </c>
      <c r="L23" t="s">
        <v>179</v>
      </c>
      <c r="M23" s="24"/>
      <c r="N23" s="24"/>
      <c r="O23" s="24"/>
      <c r="P23" s="24"/>
      <c r="Q23" s="24"/>
      <c r="R23" s="24"/>
      <c r="S23" s="24"/>
      <c r="T23" s="24" t="s">
        <v>250</v>
      </c>
    </row>
    <row r="24" spans="1:20">
      <c r="G24" t="s">
        <v>251</v>
      </c>
      <c r="H24" t="s">
        <v>252</v>
      </c>
      <c r="J24" t="s">
        <v>253</v>
      </c>
      <c r="K24" t="s">
        <v>254</v>
      </c>
      <c r="L24" t="s">
        <v>162</v>
      </c>
      <c r="M24" s="24"/>
      <c r="N24" s="24"/>
      <c r="O24" s="24"/>
      <c r="P24" s="24"/>
      <c r="Q24" s="24"/>
      <c r="R24" s="24"/>
      <c r="S24" s="24"/>
      <c r="T24" s="24" t="s">
        <v>255</v>
      </c>
    </row>
    <row r="25" spans="1:20">
      <c r="G25" t="s">
        <v>256</v>
      </c>
      <c r="H25" t="s">
        <v>257</v>
      </c>
      <c r="J25" t="s">
        <v>258</v>
      </c>
      <c r="K25" t="s">
        <v>259</v>
      </c>
      <c r="L25" t="s">
        <v>156</v>
      </c>
      <c r="M25" s="24"/>
      <c r="N25" s="24"/>
      <c r="O25" s="24"/>
      <c r="P25" s="24"/>
      <c r="Q25" s="24"/>
      <c r="R25" s="24"/>
      <c r="S25" s="24"/>
      <c r="T25" s="24" t="s">
        <v>260</v>
      </c>
    </row>
    <row r="26" spans="1:20">
      <c r="G26" t="s">
        <v>261</v>
      </c>
      <c r="H26" t="s">
        <v>262</v>
      </c>
      <c r="J26" t="s">
        <v>263</v>
      </c>
      <c r="K26" t="s">
        <v>264</v>
      </c>
      <c r="L26" t="s">
        <v>150</v>
      </c>
      <c r="M26" s="24"/>
      <c r="N26" s="24"/>
      <c r="O26" s="24"/>
      <c r="P26" s="24"/>
      <c r="Q26" s="24"/>
      <c r="R26" s="24"/>
      <c r="S26" s="24"/>
      <c r="T26" s="24" t="s">
        <v>265</v>
      </c>
    </row>
    <row r="27" spans="1:20">
      <c r="G27" t="s">
        <v>266</v>
      </c>
      <c r="H27" t="s">
        <v>267</v>
      </c>
      <c r="J27" t="s">
        <v>268</v>
      </c>
      <c r="K27" t="s">
        <v>269</v>
      </c>
      <c r="L27" t="s">
        <v>270</v>
      </c>
      <c r="M27" s="24"/>
      <c r="N27" s="24"/>
      <c r="O27" s="24"/>
      <c r="P27" s="24"/>
      <c r="Q27" s="24"/>
      <c r="R27" s="24"/>
      <c r="S27" s="24"/>
      <c r="T27" s="24" t="s">
        <v>271</v>
      </c>
    </row>
    <row r="28" spans="1:20">
      <c r="G28" t="s">
        <v>272</v>
      </c>
      <c r="H28" t="s">
        <v>273</v>
      </c>
      <c r="J28" t="s">
        <v>274</v>
      </c>
      <c r="K28" t="s">
        <v>275</v>
      </c>
      <c r="L28" t="s">
        <v>276</v>
      </c>
      <c r="M28" s="24"/>
      <c r="N28" s="24"/>
      <c r="O28" s="24"/>
      <c r="P28" s="24"/>
      <c r="Q28" s="24"/>
      <c r="R28" s="24"/>
      <c r="S28" s="24"/>
      <c r="T28" s="24" t="s">
        <v>277</v>
      </c>
    </row>
    <row r="29" spans="1:20">
      <c r="G29" t="s">
        <v>278</v>
      </c>
      <c r="H29" t="s">
        <v>279</v>
      </c>
      <c r="J29" t="s">
        <v>280</v>
      </c>
      <c r="K29" t="s">
        <v>281</v>
      </c>
      <c r="L29" t="s">
        <v>282</v>
      </c>
      <c r="M29" s="24"/>
      <c r="N29" s="24"/>
      <c r="O29" s="24"/>
      <c r="P29" s="24"/>
      <c r="Q29" s="24"/>
      <c r="R29" s="24"/>
      <c r="S29" s="24"/>
      <c r="T29" s="24" t="s">
        <v>283</v>
      </c>
    </row>
    <row r="30" spans="1:20">
      <c r="G30" t="s">
        <v>284</v>
      </c>
      <c r="H30" t="s">
        <v>285</v>
      </c>
      <c r="J30" t="s">
        <v>286</v>
      </c>
      <c r="K30" t="s">
        <v>287</v>
      </c>
      <c r="L30" t="s">
        <v>270</v>
      </c>
      <c r="M30" s="24"/>
      <c r="N30" s="24"/>
      <c r="O30" s="24"/>
      <c r="P30" s="24"/>
      <c r="Q30" s="24"/>
      <c r="R30" s="24"/>
      <c r="S30" s="24"/>
      <c r="T30" s="24" t="s">
        <v>288</v>
      </c>
    </row>
    <row r="31" spans="1:20">
      <c r="G31" t="s">
        <v>289</v>
      </c>
      <c r="H31" t="s">
        <v>290</v>
      </c>
      <c r="J31" t="s">
        <v>291</v>
      </c>
      <c r="K31" t="s">
        <v>292</v>
      </c>
      <c r="L31" t="s">
        <v>179</v>
      </c>
      <c r="M31" s="24"/>
      <c r="N31" s="24"/>
      <c r="O31" s="24"/>
      <c r="P31" s="24"/>
      <c r="Q31" s="24"/>
      <c r="R31" s="24"/>
      <c r="S31" s="24"/>
      <c r="T31" s="24" t="s">
        <v>293</v>
      </c>
    </row>
    <row r="32" spans="1:20">
      <c r="G32" s="32" t="s">
        <v>332</v>
      </c>
      <c r="H32" s="32" t="s">
        <v>333</v>
      </c>
      <c r="J32" t="s">
        <v>334</v>
      </c>
      <c r="K32" t="s">
        <v>335</v>
      </c>
      <c r="L32" t="s">
        <v>336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Dashboard</vt:lpstr>
      <vt:lpstr>RAW</vt:lpstr>
      <vt:lpstr>입금현황</vt:lpstr>
      <vt:lpstr>업체별 세부현황</vt:lpstr>
      <vt:lpstr>Backdata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동수 이</dc:creator>
  <cp:lastModifiedBy>동수 이</cp:lastModifiedBy>
  <dcterms:created xsi:type="dcterms:W3CDTF">2025-12-12T03:40:40Z</dcterms:created>
  <dcterms:modified xsi:type="dcterms:W3CDTF">2026-05-15T04:45:40Z</dcterms:modified>
</cp:coreProperties>
</file>